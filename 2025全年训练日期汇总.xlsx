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resp\Desktop\usercode\TrainingRecord\"/>
    </mc:Choice>
  </mc:AlternateContent>
  <xr:revisionPtr revIDLastSave="0" documentId="13_ncr:1_{ED2C8FED-31BA-401B-BF1D-D6A57DC833C8}" xr6:coauthVersionLast="47" xr6:coauthVersionMax="47" xr10:uidLastSave="{00000000-0000-0000-0000-000000000000}"/>
  <bookViews>
    <workbookView xWindow="38805" yWindow="4200" windowWidth="23550" windowHeight="16665" xr2:uid="{00000000-000D-0000-FFFF-FFFF00000000}"/>
  </bookViews>
  <sheets>
    <sheet name="封面" sheetId="1" r:id="rId1"/>
    <sheet name="1月" sheetId="2" r:id="rId2"/>
    <sheet name="2月" sheetId="3" r:id="rId3"/>
    <sheet name="3月" sheetId="4" r:id="rId4"/>
    <sheet name="4月" sheetId="5" r:id="rId5"/>
    <sheet name="5月" sheetId="6" r:id="rId6"/>
    <sheet name="6月" sheetId="7" r:id="rId7"/>
    <sheet name="7月" sheetId="8" r:id="rId8"/>
    <sheet name="8月" sheetId="9" r:id="rId9"/>
    <sheet name="9月" sheetId="10" r:id="rId10"/>
    <sheet name="10月" sheetId="11" r:id="rId11"/>
    <sheet name="11月" sheetId="12" r:id="rId12"/>
    <sheet name="12月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13" i="7"/>
  <c r="D12" i="7"/>
  <c r="D11" i="7"/>
  <c r="D10" i="7"/>
  <c r="D9" i="7"/>
  <c r="D8" i="7"/>
  <c r="D7" i="7"/>
  <c r="D6" i="7"/>
  <c r="D5" i="7"/>
  <c r="D4" i="7"/>
  <c r="D3" i="7"/>
  <c r="D2" i="7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4" i="3"/>
  <c r="D13" i="3"/>
  <c r="D12" i="3"/>
  <c r="D11" i="3"/>
  <c r="D10" i="3"/>
  <c r="D9" i="3"/>
  <c r="D8" i="3"/>
  <c r="D7" i="3"/>
  <c r="D6" i="3"/>
  <c r="D5" i="3"/>
  <c r="D4" i="3"/>
  <c r="D3" i="3"/>
  <c r="D2" i="3"/>
  <c r="D8" i="2"/>
  <c r="D7" i="2"/>
  <c r="D6" i="2"/>
  <c r="D5" i="2"/>
  <c r="D4" i="2"/>
  <c r="D3" i="2"/>
  <c r="D2" i="2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C9" i="1"/>
  <c r="E9" i="1" s="1"/>
  <c r="B9" i="1"/>
  <c r="D9" i="1" s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C5" i="1"/>
  <c r="E5" i="1" s="1"/>
  <c r="B5" i="1"/>
  <c r="D5" i="1" s="1"/>
  <c r="C4" i="1"/>
  <c r="E4" i="1" s="1"/>
  <c r="B4" i="1"/>
  <c r="D4" i="1" s="1"/>
  <c r="C3" i="1"/>
  <c r="E3" i="1" s="1"/>
  <c r="B3" i="1"/>
  <c r="D3" i="1" s="1"/>
  <c r="F2" i="1"/>
  <c r="E2" i="1"/>
  <c r="D2" i="1"/>
  <c r="C2" i="1"/>
  <c r="B2" i="1"/>
  <c r="F9" i="1" l="1"/>
  <c r="F5" i="1"/>
  <c r="F4" i="1"/>
  <c r="E14" i="1"/>
  <c r="D14" i="1"/>
  <c r="F3" i="1"/>
  <c r="C14" i="1"/>
  <c r="B14" i="1"/>
  <c r="F14" i="1" l="1"/>
</calcChain>
</file>

<file path=xl/sharedStrings.xml><?xml version="1.0" encoding="utf-8"?>
<sst xmlns="http://schemas.openxmlformats.org/spreadsheetml/2006/main" count="559" uniqueCount="281">
  <si>
    <t>月份</t>
  </si>
  <si>
    <t>工作日训练时长</t>
  </si>
  <si>
    <t>节假日训练时长</t>
  </si>
  <si>
    <t>工作日金额（x100）</t>
  </si>
  <si>
    <t>节假日金额（x200）</t>
  </si>
  <si>
    <t>总金额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</si>
  <si>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</si>
  <si>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</si>
  <si>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</si>
  <si>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</si>
  <si>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</si>
  <si>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</si>
  <si>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</si>
  <si>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</si>
  <si>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</si>
  <si>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</si>
  <si>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</si>
  <si>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</si>
  <si>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</si>
  <si>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1月训练日期</t>
  </si>
  <si>
    <t>是否法定节假日</t>
  </si>
  <si>
    <t>训练时长（小时）</t>
  </si>
  <si>
    <t>金额</t>
  </si>
  <si>
    <t>2025-01-18</t>
  </si>
  <si>
    <t>是</t>
  </si>
  <si>
    <t>2025-01-20</t>
  </si>
  <si>
    <t>2025-01-21</t>
  </si>
  <si>
    <t>2025-01-22</t>
  </si>
  <si>
    <t>2025-01-23</t>
  </si>
  <si>
    <t>2025-01-24</t>
  </si>
  <si>
    <t>2025-01-25</t>
  </si>
  <si>
    <t>2月训练日期</t>
  </si>
  <si>
    <t>2025-02-14</t>
  </si>
  <si>
    <t>否</t>
  </si>
  <si>
    <t>2025-02-15</t>
  </si>
  <si>
    <t>2025-02-17</t>
  </si>
  <si>
    <t>2025-02-18</t>
  </si>
  <si>
    <t>2025-02-19</t>
  </si>
  <si>
    <t>2025-02-20</t>
  </si>
  <si>
    <t>2025-02-21</t>
  </si>
  <si>
    <t>2025-02-22</t>
  </si>
  <si>
    <t>2025-02-24</t>
  </si>
  <si>
    <t>2025-02-25</t>
  </si>
  <si>
    <t>2025-02-26</t>
  </si>
  <si>
    <t>2025-02-27</t>
  </si>
  <si>
    <t>2025-02-28</t>
  </si>
  <si>
    <t>3月训练日期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</si>
  <si>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</si>
  <si>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</si>
  <si>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</si>
  <si>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</si>
  <si>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</si>
  <si>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</si>
  <si>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</si>
  <si>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</si>
  <si>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</si>
  <si>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</si>
  <si>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</si>
  <si>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</si>
  <si>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</si>
  <si>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</si>
  <si>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</si>
  <si>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</si>
  <si>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</si>
  <si>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</si>
  <si>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</si>
  <si>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</si>
  <si>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</si>
  <si>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</si>
  <si>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</si>
  <si>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</si>
  <si>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</si>
  <si>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</si>
  <si>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4月训练日期</t>
  </si>
  <si>
    <t>2025-04-01</t>
  </si>
  <si>
    <t>2025-04-02</t>
  </si>
  <si>
    <t>2025-04-03</t>
  </si>
  <si>
    <t>2025-04-04</t>
  </si>
  <si>
    <t>2025-04-05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</si>
  <si>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</si>
  <si>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</si>
  <si>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</si>
  <si>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</si>
  <si>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</si>
  <si>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</si>
  <si>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</si>
  <si>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</si>
  <si>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</si>
  <si>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</si>
  <si>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</si>
  <si>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</si>
  <si>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</si>
  <si>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</si>
  <si>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</si>
  <si>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</si>
  <si>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</si>
  <si>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</si>
  <si>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2025-04-28</t>
  </si>
  <si>
    <t>2025-04-29</t>
  </si>
  <si>
    <t>2025-04-30</t>
  </si>
  <si>
    <t>5月训练日期</t>
  </si>
  <si>
    <t>2025-05-08</t>
  </si>
  <si>
    <t>2025-05-09</t>
  </si>
  <si>
    <t>2025-05-10</t>
  </si>
  <si>
    <t>2025-05-12</t>
  </si>
  <si>
    <t>2025-05-13</t>
  </si>
  <si>
    <t>2025-05-14</t>
  </si>
  <si>
    <t>2025-05-15</t>
  </si>
  <si>
    <t>2025-05-16</t>
  </si>
  <si>
    <t>2025-05-17</t>
  </si>
  <si>
    <t>2025-05-19</t>
  </si>
  <si>
    <t>2025-05-20</t>
  </si>
  <si>
    <t>2025-05-21</t>
  </si>
  <si>
    <t>2025-05-22</t>
  </si>
  <si>
    <t>2025-05-23</t>
  </si>
  <si>
    <t>2025-05-24</t>
  </si>
  <si>
    <t>2025-05-26</t>
  </si>
  <si>
    <t>2025-05-27</t>
  </si>
  <si>
    <t>2025-05-28</t>
  </si>
  <si>
    <t>2025-05-29</t>
  </si>
  <si>
    <t>2025-05-30</t>
  </si>
  <si>
    <t>2025-05-31</t>
  </si>
  <si>
    <t>6月训练日期</t>
  </si>
  <si>
    <t>2025-06-02</t>
  </si>
  <si>
    <t>2025-06-03</t>
  </si>
  <si>
    <t>2025-06-04</t>
  </si>
  <si>
    <t>2025-06-05</t>
  </si>
  <si>
    <t>2025-06-06</t>
  </si>
  <si>
    <t>2025-06-07</t>
  </si>
  <si>
    <t>2025-06-09</t>
  </si>
  <si>
    <t>2025-06-10</t>
  </si>
  <si>
    <t>2025-06-11</t>
  </si>
  <si>
    <t>2025-06-12</t>
  </si>
  <si>
    <t>2025-06-13</t>
  </si>
  <si>
    <t>2025-06-14</t>
  </si>
  <si>
    <t>7月训练日期</t>
  </si>
  <si>
    <t>2025-07-01</t>
  </si>
  <si>
    <t>2025-07-02</t>
  </si>
  <si>
    <t>2025-07-03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</si>
  <si>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</si>
  <si>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</si>
  <si>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</si>
  <si>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</si>
  <si>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</si>
  <si>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</si>
  <si>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</si>
  <si>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</si>
  <si>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</si>
  <si>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</si>
  <si>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</si>
  <si>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</si>
  <si>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</si>
  <si>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</si>
  <si>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</si>
  <si>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</si>
  <si>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</si>
  <si>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2025-07-29</t>
  </si>
  <si>
    <t>2025-07-30</t>
  </si>
  <si>
    <t>2025-07-31</t>
  </si>
  <si>
    <t>8月训练日期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</si>
  <si>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</si>
  <si>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</si>
  <si>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</si>
  <si>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</si>
  <si>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</si>
  <si>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</si>
  <si>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</si>
  <si>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</si>
  <si>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</si>
  <si>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</si>
  <si>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</si>
  <si>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2025-08-20</t>
  </si>
  <si>
    <t>2025-08-21</t>
  </si>
  <si>
    <t>2025-08-22</t>
  </si>
  <si>
    <t>9月训练日期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</si>
  <si>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</si>
  <si>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</si>
  <si>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</si>
  <si>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</si>
  <si>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</si>
  <si>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</si>
  <si>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</si>
  <si>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</si>
  <si>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</si>
  <si>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</si>
  <si>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</si>
  <si>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</si>
  <si>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</si>
  <si>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</si>
  <si>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</si>
  <si>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</si>
  <si>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</si>
  <si>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</si>
  <si>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</si>
  <si>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</si>
  <si>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</si>
  <si>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</si>
  <si>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</si>
  <si>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</si>
  <si>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</si>
  <si>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</si>
  <si>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10月训练日期</t>
  </si>
  <si>
    <t>2025-10-01</t>
  </si>
  <si>
    <t>2025-10-02</t>
  </si>
  <si>
    <t>2025-10-03</t>
  </si>
  <si>
    <t>2025-10-04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</si>
  <si>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</si>
  <si>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</si>
  <si>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</si>
  <si>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</si>
  <si>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</si>
  <si>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</si>
  <si>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</si>
  <si>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</si>
  <si>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</si>
  <si>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</si>
  <si>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</si>
  <si>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</si>
  <si>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</si>
  <si>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</si>
  <si>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</si>
  <si>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</si>
  <si>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</si>
  <si>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</si>
  <si>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</si>
  <si>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</si>
  <si>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</si>
  <si>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11月训练日期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</si>
  <si>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</si>
  <si>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</si>
  <si>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</si>
  <si>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</si>
  <si>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</si>
  <si>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</si>
  <si>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</si>
  <si>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</si>
  <si>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</si>
  <si>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</si>
  <si>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</si>
  <si>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</si>
  <si>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</si>
  <si>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</si>
  <si>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</si>
  <si>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</si>
  <si>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</si>
  <si>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</si>
  <si>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</si>
  <si>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</si>
  <si>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</si>
  <si>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</si>
  <si>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</si>
  <si>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</si>
  <si>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</si>
  <si>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12月训练日期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</si>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</sst>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33" sqref="E33"/>
    </sheetView>
  </sheetViews>
  <sheetFormatPr defaultColWidth="9" defaultRowHeight="13.5" x14ac:dyDescent="0.15"/>
  <cols>
    <col min="1" max="1" width="5.75" customWidth="1"/>
    <col min="2" max="3" width="16.375" customWidth="1"/>
    <col min="4" max="5" width="21.375" customWidth="1"/>
    <col min="6" max="6" width="7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f>SUMIFS('1月'!C:C,'1月'!B:B,"否")</f>
        <v>0</v>
      </c>
      <c r="C2">
        <f>SUMIFS('1月'!C:C,'1月'!B:B,"是")</f>
        <v>56</v>
      </c>
      <c r="D2">
        <f t="shared" ref="D2:D13" si="0">B2*100</f>
        <v>0</v>
      </c>
      <c r="E2">
        <f t="shared" ref="E2:E13" si="1">C2*200</f>
        <v>11200</v>
      </c>
      <c r="F2">
        <f t="shared" ref="F2:F13" si="2">D2+E2</f>
        <v>11200</v>
      </c>
    </row>
    <row r="3" spans="1:6" x14ac:dyDescent="0.15">
      <c r="A3" t="s">
        <v>7</v>
      </c>
      <c r="B3">
        <f>SUMIFS('2月'!C:C,'2月'!B:B,"否")</f>
        <v>14.5</v>
      </c>
      <c r="C3">
        <f>SUMIFS('2月'!C:C,'2月'!B:B,"是")</f>
        <v>16</v>
      </c>
      <c r="D3">
        <f t="shared" si="0"/>
        <v>1450</v>
      </c>
      <c r="E3">
        <f t="shared" si="1"/>
        <v>3200</v>
      </c>
      <c r="F3">
        <f t="shared" si="2"/>
        <v>4650</v>
      </c>
    </row>
    <row r="4" spans="1:6" x14ac:dyDescent="0.15">
      <c r="A4" t="s">
        <v>8</v>
      </c>
      <c r="B4">
        <f>SUMIFS('3月'!C:C,'3月'!B:B,"否")</f>
        <v>22.5</v>
      </c>
      <c r="C4">
        <f>SUMIFS('3月'!C:C,'3月'!B:B,"是")</f>
        <v>40</v>
      </c>
      <c r="D4">
        <f t="shared" si="0"/>
        <v>2250</v>
      </c>
      <c r="E4">
        <f t="shared" si="1"/>
        <v>8000</v>
      </c>
      <c r="F4">
        <f t="shared" si="2"/>
        <v>10250</v>
      </c>
    </row>
    <row r="5" spans="1:6" x14ac:dyDescent="0.15">
      <c r="A5" t="s">
        <v>9</v>
      </c>
      <c r="B5">
        <f>SUMIFS('4月'!C:C,'4月'!B:B,"否")</f>
        <v>23</v>
      </c>
      <c r="C5">
        <f>SUMIFS('4月'!C:C,'4月'!B:B,"是")</f>
        <v>32</v>
      </c>
      <c r="D5">
        <f t="shared" si="0"/>
        <v>2300</v>
      </c>
      <c r="E5">
        <f t="shared" si="1"/>
        <v>6400</v>
      </c>
      <c r="F5">
        <f t="shared" si="2"/>
        <v>8700</v>
      </c>
    </row>
    <row r="6" spans="1:6" x14ac:dyDescent="0.15">
      <c r="A6" t="s">
        <v>10</v>
      </c>
      <c r="B6">
        <f>SUMIFS('5月'!C:C,'5月'!B:B,"否")</f>
        <v>20.5</v>
      </c>
      <c r="C6">
        <f>SUMIFS('5月'!C:C,'5月'!B:B,"是")</f>
        <v>32</v>
      </c>
      <c r="D6">
        <f t="shared" si="0"/>
        <v>2050</v>
      </c>
      <c r="E6">
        <f t="shared" si="1"/>
        <v>6400</v>
      </c>
      <c r="F6">
        <f t="shared" si="2"/>
        <v>8450</v>
      </c>
    </row>
    <row r="7" spans="1:6" x14ac:dyDescent="0.15">
      <c r="A7" t="s">
        <v>11</v>
      </c>
      <c r="B7">
        <f>SUMIFS('6月'!C:C,'6月'!B:B,"否")</f>
        <v>11</v>
      </c>
      <c r="C7">
        <f>SUMIFS('6月'!C:C,'6月'!B:B,"是")</f>
        <v>16</v>
      </c>
      <c r="D7">
        <f t="shared" si="0"/>
        <v>1100</v>
      </c>
      <c r="E7">
        <f t="shared" si="1"/>
        <v>3200</v>
      </c>
      <c r="F7">
        <f t="shared" si="2"/>
        <v>4300</v>
      </c>
    </row>
    <row r="8" spans="1:6" x14ac:dyDescent="0.15">
      <c r="A8" t="s">
        <v>12</v>
      </c>
      <c r="B8">
        <f>SUMIFS('7月'!C:C,'7月'!B:B,"否")</f>
        <v>0</v>
      </c>
      <c r="C8">
        <f>SUMIFS('7月'!C:C,'7月'!B:B,"是")</f>
        <v>184</v>
      </c>
      <c r="D8">
        <f t="shared" si="0"/>
        <v>0</v>
      </c>
      <c r="E8">
        <f t="shared" si="1"/>
        <v>36800</v>
      </c>
      <c r="F8">
        <f t="shared" si="2"/>
        <v>36800</v>
      </c>
    </row>
    <row r="9" spans="1:6" x14ac:dyDescent="0.15">
      <c r="A9" t="s">
        <v>13</v>
      </c>
      <c r="B9">
        <f>SUMIFS('8月'!C:C,'8月'!B:B,"否")</f>
        <v>0</v>
      </c>
      <c r="C9">
        <f>SUMIFS('8月'!C:C,'8月'!B:B,"是")</f>
        <v>128</v>
      </c>
      <c r="D9">
        <f t="shared" si="0"/>
        <v>0</v>
      </c>
      <c r="E9">
        <f t="shared" si="1"/>
        <v>25600</v>
      </c>
      <c r="F9">
        <f t="shared" si="2"/>
        <v>25600</v>
      </c>
    </row>
    <row r="10" spans="1:6" x14ac:dyDescent="0.15">
      <c r="A10" t="s">
        <v>14</v>
      </c>
      <c r="B10">
        <f>SUMIFS('9月'!C:C,'9月'!B:B,"否")</f>
        <v>23</v>
      </c>
      <c r="C10">
        <f>SUMIFS('9月'!C:C,'9月'!B:B,"是")</f>
        <v>32</v>
      </c>
      <c r="D10">
        <f t="shared" si="0"/>
        <v>2300</v>
      </c>
      <c r="E10">
        <f t="shared" si="1"/>
        <v>6400</v>
      </c>
      <c r="F10">
        <f t="shared" si="2"/>
        <v>8700</v>
      </c>
    </row>
    <row r="11" spans="1:6" x14ac:dyDescent="0.15">
      <c r="A11" t="s">
        <v>15</v>
      </c>
      <c r="B11">
        <f>SUMIFS('10月'!C:C,'10月'!B:B,"否")</f>
        <v>21</v>
      </c>
      <c r="C11">
        <f>SUMIFS('10月'!C:C,'10月'!B:B,"是")</f>
        <v>56</v>
      </c>
      <c r="D11">
        <f t="shared" si="0"/>
        <v>2100</v>
      </c>
      <c r="E11">
        <f t="shared" si="1"/>
        <v>11200</v>
      </c>
      <c r="F11">
        <f t="shared" si="2"/>
        <v>13300</v>
      </c>
    </row>
    <row r="12" spans="1:6" x14ac:dyDescent="0.15">
      <c r="A12" t="s">
        <v>16</v>
      </c>
      <c r="B12">
        <f>SUMIFS('11月'!C:C,'11月'!B:B,"否")</f>
        <v>22</v>
      </c>
      <c r="C12">
        <f>SUMIFS('11月'!C:C,'11月'!B:B,"是")</f>
        <v>40</v>
      </c>
      <c r="D12">
        <f t="shared" si="0"/>
        <v>2200</v>
      </c>
      <c r="E12">
        <f t="shared" si="1"/>
        <v>8000</v>
      </c>
      <c r="F12">
        <f t="shared" si="2"/>
        <v>10200</v>
      </c>
    </row>
    <row r="13" spans="1:6" x14ac:dyDescent="0.15">
      <c r="A13" t="s">
        <v>17</v>
      </c>
      <c r="B13">
        <f>SUMIFS('12月'!C:C,'12月'!B:B,"否")</f>
        <v>23.5</v>
      </c>
      <c r="C13">
        <f>SUMIFS('12月'!C:C,'12月'!B:B,"是")</f>
        <v>32</v>
      </c>
      <c r="D13">
        <f t="shared" si="0"/>
        <v>2350</v>
      </c>
      <c r="E13">
        <f t="shared" si="1"/>
        <v>6400</v>
      </c>
      <c r="F13">
        <f t="shared" si="2"/>
        <v>8750</v>
      </c>
    </row>
    <row r="14" spans="1:6" x14ac:dyDescent="0.15">
      <c r="A14" t="s">
        <v>18</v>
      </c>
      <c r="B14">
        <f>SUM(B2:B13)</f>
        <v>181</v>
      </c>
      <c r="C14">
        <f>SUM(C2:C13)</f>
        <v>664</v>
      </c>
      <c r="D14">
        <f>SUM(D2:D13)</f>
        <v>18100</v>
      </c>
      <c r="E14">
        <f>SUM(E2:E13)</f>
        <v>132800</v>
      </c>
      <c r="F14">
        <f>SUM(F2:F13)</f>
        <v>150900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10" sqref="C10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23</v>
      </c>
      <c r="B2" t="s">
        <v>24</v>
      </c>
      <c r="C2">
        <v>8</v>
      </c>
      <c r="D2">
        <f t="shared" ref="D2:D8" si="0">IF(B2="","",IF(B2="是",C2*200,IF(B2="否",C2*100,"")))</f>
        <v>1600</v>
      </c>
    </row>
    <row r="3" spans="1:4" x14ac:dyDescent="0.15">
      <c r="A3" t="s">
        <v>25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26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27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28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29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30</v>
      </c>
      <c r="B8" t="s">
        <v>24</v>
      </c>
      <c r="C8">
        <v>8</v>
      </c>
      <c r="D8">
        <f t="shared" si="0"/>
        <v>1600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35" sqref="D35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31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32</v>
      </c>
      <c r="B2" t="s">
        <v>33</v>
      </c>
      <c r="C2">
        <v>3.5</v>
      </c>
      <c r="D2">
        <f t="shared" ref="D2:D14" si="0">IF(B2="","",IF(B2="是",C2*200,IF(B2="否",C2*100,"")))</f>
        <v>350</v>
      </c>
    </row>
    <row r="3" spans="1:4" x14ac:dyDescent="0.15">
      <c r="A3" t="s">
        <v>34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35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36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37</v>
      </c>
      <c r="B6" t="s">
        <v>33</v>
      </c>
      <c r="C6">
        <v>0.5</v>
      </c>
      <c r="D6">
        <f t="shared" si="0"/>
        <v>50</v>
      </c>
    </row>
    <row r="7" spans="1:4" x14ac:dyDescent="0.15">
      <c r="A7" t="s">
        <v>38</v>
      </c>
      <c r="B7" t="s">
        <v>33</v>
      </c>
      <c r="C7">
        <v>0.5</v>
      </c>
      <c r="D7">
        <f t="shared" si="0"/>
        <v>50</v>
      </c>
    </row>
    <row r="8" spans="1:4" x14ac:dyDescent="0.15">
      <c r="A8" t="s">
        <v>39</v>
      </c>
      <c r="B8" t="s">
        <v>33</v>
      </c>
      <c r="C8">
        <v>3.5</v>
      </c>
      <c r="D8">
        <f t="shared" si="0"/>
        <v>350</v>
      </c>
    </row>
    <row r="9" spans="1:4" x14ac:dyDescent="0.15">
      <c r="A9" t="s">
        <v>40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41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42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43</v>
      </c>
      <c r="B12" t="s">
        <v>33</v>
      </c>
      <c r="C12">
        <v>0.5</v>
      </c>
      <c r="D12">
        <f t="shared" si="0"/>
        <v>50</v>
      </c>
    </row>
    <row r="13" spans="1:4" x14ac:dyDescent="0.15">
      <c r="A13" t="s">
        <v>44</v>
      </c>
      <c r="B13" t="s">
        <v>33</v>
      </c>
      <c r="C13">
        <v>0.5</v>
      </c>
      <c r="D13">
        <f t="shared" si="0"/>
        <v>50</v>
      </c>
    </row>
    <row r="14" spans="1:4" x14ac:dyDescent="0.15">
      <c r="A14" t="s">
        <v>45</v>
      </c>
      <c r="B14" t="s">
        <v>33</v>
      </c>
      <c r="C14">
        <v>3.5</v>
      </c>
      <c r="D14">
        <f t="shared" si="0"/>
        <v>350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selection activeCell="C25" sqref="C25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46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47</v>
      </c>
      <c r="B2" t="s">
        <v>24</v>
      </c>
      <c r="C2">
        <v>8</v>
      </c>
      <c r="D2">
        <f t="shared" ref="D2:D27" si="0">IF(B2="","",IF(B2="是",C2*200,IF(B2="否",C2*100,"")))</f>
        <v>1600</v>
      </c>
    </row>
    <row r="3" spans="1:4" x14ac:dyDescent="0.15">
      <c r="A3" t="s">
        <v>48</v>
      </c>
      <c r="B3" t="s">
        <v>33</v>
      </c>
      <c r="C3">
        <v>0.5</v>
      </c>
      <c r="D3">
        <f t="shared" si="0"/>
        <v>50</v>
      </c>
    </row>
    <row r="4" spans="1:4" x14ac:dyDescent="0.15">
      <c r="A4" t="s">
        <v>49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50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51</v>
      </c>
      <c r="B6" t="s">
        <v>33</v>
      </c>
      <c r="C6">
        <v>0.5</v>
      </c>
      <c r="D6">
        <f t="shared" si="0"/>
        <v>50</v>
      </c>
    </row>
    <row r="7" spans="1:4" x14ac:dyDescent="0.15">
      <c r="A7" t="s">
        <v>52</v>
      </c>
      <c r="B7" t="s">
        <v>33</v>
      </c>
      <c r="C7">
        <v>3.5</v>
      </c>
      <c r="D7">
        <f t="shared" si="0"/>
        <v>350</v>
      </c>
    </row>
    <row r="8" spans="1:4" x14ac:dyDescent="0.15">
      <c r="A8" t="s">
        <v>53</v>
      </c>
      <c r="B8" t="s">
        <v>24</v>
      </c>
      <c r="C8">
        <v>8</v>
      </c>
      <c r="D8">
        <f t="shared" si="0"/>
        <v>1600</v>
      </c>
    </row>
    <row r="9" spans="1:4" x14ac:dyDescent="0.15">
      <c r="A9" t="s">
        <v>54</v>
      </c>
      <c r="B9" t="s">
        <v>33</v>
      </c>
      <c r="C9">
        <v>0.5</v>
      </c>
      <c r="D9">
        <f t="shared" si="0"/>
        <v>50</v>
      </c>
    </row>
    <row r="10" spans="1:4" x14ac:dyDescent="0.15">
      <c r="A10" t="s">
        <v>55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56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57</v>
      </c>
      <c r="B12" t="s">
        <v>33</v>
      </c>
      <c r="C12">
        <v>0.5</v>
      </c>
      <c r="D12">
        <f t="shared" si="0"/>
        <v>50</v>
      </c>
    </row>
    <row r="13" spans="1:4" x14ac:dyDescent="0.15">
      <c r="A13" t="s">
        <v>58</v>
      </c>
      <c r="B13" t="s">
        <v>33</v>
      </c>
      <c r="C13">
        <v>3.5</v>
      </c>
      <c r="D13">
        <f t="shared" si="0"/>
        <v>350</v>
      </c>
    </row>
    <row r="14" spans="1:4" x14ac:dyDescent="0.15">
      <c r="A14" t="s">
        <v>59</v>
      </c>
      <c r="B14" t="s">
        <v>24</v>
      </c>
      <c r="C14">
        <v>8</v>
      </c>
      <c r="D14">
        <f t="shared" si="0"/>
        <v>1600</v>
      </c>
    </row>
    <row r="15" spans="1:4" x14ac:dyDescent="0.15">
      <c r="A15" t="s">
        <v>60</v>
      </c>
      <c r="B15" t="s">
        <v>33</v>
      </c>
      <c r="C15">
        <v>0.5</v>
      </c>
      <c r="D15">
        <f t="shared" si="0"/>
        <v>50</v>
      </c>
    </row>
    <row r="16" spans="1:4" x14ac:dyDescent="0.15">
      <c r="A16" t="s">
        <v>61</v>
      </c>
      <c r="B16" t="s">
        <v>33</v>
      </c>
      <c r="C16">
        <v>0.5</v>
      </c>
      <c r="D16">
        <f t="shared" si="0"/>
        <v>50</v>
      </c>
    </row>
    <row r="17" spans="1:4" x14ac:dyDescent="0.15">
      <c r="A17" t="s">
        <v>62</v>
      </c>
      <c r="B17" t="s">
        <v>33</v>
      </c>
      <c r="C17">
        <v>0.5</v>
      </c>
      <c r="D17">
        <f t="shared" si="0"/>
        <v>50</v>
      </c>
    </row>
    <row r="18" spans="1:4" x14ac:dyDescent="0.15">
      <c r="A18" t="s">
        <v>63</v>
      </c>
      <c r="B18" t="s">
        <v>33</v>
      </c>
      <c r="C18">
        <v>0.5</v>
      </c>
      <c r="D18">
        <f t="shared" si="0"/>
        <v>50</v>
      </c>
    </row>
    <row r="19" spans="1:4" x14ac:dyDescent="0.15">
      <c r="A19" t="s">
        <v>64</v>
      </c>
      <c r="B19" t="s">
        <v>33</v>
      </c>
      <c r="C19">
        <v>3.5</v>
      </c>
      <c r="D19">
        <f t="shared" si="0"/>
        <v>350</v>
      </c>
    </row>
    <row r="20" spans="1:4" x14ac:dyDescent="0.15">
      <c r="A20" t="s">
        <v>65</v>
      </c>
      <c r="B20" t="s">
        <v>24</v>
      </c>
      <c r="C20">
        <v>8</v>
      </c>
      <c r="D20">
        <f t="shared" si="0"/>
        <v>1600</v>
      </c>
    </row>
    <row r="21" spans="1:4" x14ac:dyDescent="0.15">
      <c r="A21" t="s">
        <v>66</v>
      </c>
      <c r="B21" t="s">
        <v>33</v>
      </c>
      <c r="C21">
        <v>0.5</v>
      </c>
      <c r="D21">
        <f t="shared" si="0"/>
        <v>50</v>
      </c>
    </row>
    <row r="22" spans="1:4" x14ac:dyDescent="0.15">
      <c r="A22" t="s">
        <v>67</v>
      </c>
      <c r="B22" t="s">
        <v>33</v>
      </c>
      <c r="C22">
        <v>0.5</v>
      </c>
      <c r="D22">
        <f t="shared" si="0"/>
        <v>50</v>
      </c>
    </row>
    <row r="23" spans="1:4" x14ac:dyDescent="0.15">
      <c r="A23" t="s">
        <v>68</v>
      </c>
      <c r="B23" t="s">
        <v>33</v>
      </c>
      <c r="C23">
        <v>0.5</v>
      </c>
      <c r="D23">
        <f t="shared" si="0"/>
        <v>50</v>
      </c>
    </row>
    <row r="24" spans="1:4" x14ac:dyDescent="0.15">
      <c r="A24" t="s">
        <v>69</v>
      </c>
      <c r="B24" t="s">
        <v>33</v>
      </c>
      <c r="C24">
        <v>0.5</v>
      </c>
      <c r="D24">
        <f t="shared" si="0"/>
        <v>50</v>
      </c>
    </row>
    <row r="25" spans="1:4" x14ac:dyDescent="0.15">
      <c r="A25" t="s">
        <v>70</v>
      </c>
      <c r="B25" t="s">
        <v>33</v>
      </c>
      <c r="C25">
        <v>3.5</v>
      </c>
      <c r="D25">
        <f t="shared" si="0"/>
        <v>350</v>
      </c>
    </row>
    <row r="26" spans="1:4" x14ac:dyDescent="0.15">
      <c r="A26" t="s">
        <v>71</v>
      </c>
      <c r="B26" t="s">
        <v>24</v>
      </c>
      <c r="C26">
        <v>8</v>
      </c>
      <c r="D26">
        <f t="shared" si="0"/>
        <v>1600</v>
      </c>
    </row>
    <row r="27" spans="1:4" x14ac:dyDescent="0.15">
      <c r="A27" t="s">
        <v>72</v>
      </c>
      <c r="B27" t="s">
        <v>33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activeCell="C23" sqref="C23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73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74</v>
      </c>
      <c r="B2" t="s">
        <v>33</v>
      </c>
      <c r="C2">
        <v>0.5</v>
      </c>
      <c r="D2">
        <f t="shared" ref="D2:D27" si="0">IF(B2="","",IF(B2="是",C2*200,IF(B2="否",C2*100,"")))</f>
        <v>50</v>
      </c>
    </row>
    <row r="3" spans="1:4" x14ac:dyDescent="0.15">
      <c r="A3" t="s">
        <v>75</v>
      </c>
      <c r="B3" t="s">
        <v>33</v>
      </c>
      <c r="C3">
        <v>0.5</v>
      </c>
      <c r="D3">
        <f t="shared" si="0"/>
        <v>50</v>
      </c>
    </row>
    <row r="4" spans="1:4" x14ac:dyDescent="0.15">
      <c r="A4" t="s">
        <v>76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77</v>
      </c>
      <c r="B5" t="s">
        <v>33</v>
      </c>
      <c r="C5">
        <v>3.5</v>
      </c>
      <c r="D5">
        <f t="shared" si="0"/>
        <v>350</v>
      </c>
    </row>
    <row r="6" spans="1:4" x14ac:dyDescent="0.15">
      <c r="A6" t="s">
        <v>78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79</v>
      </c>
      <c r="B7" t="s">
        <v>33</v>
      </c>
      <c r="C7">
        <v>0.5</v>
      </c>
      <c r="D7">
        <f t="shared" si="0"/>
        <v>50</v>
      </c>
    </row>
    <row r="8" spans="1:4" x14ac:dyDescent="0.15">
      <c r="A8" t="s">
        <v>80</v>
      </c>
      <c r="B8" t="s">
        <v>33</v>
      </c>
      <c r="C8">
        <v>0.5</v>
      </c>
      <c r="D8">
        <f t="shared" si="0"/>
        <v>50</v>
      </c>
    </row>
    <row r="9" spans="1:4" x14ac:dyDescent="0.15">
      <c r="A9" t="s">
        <v>81</v>
      </c>
      <c r="B9" t="s">
        <v>33</v>
      </c>
      <c r="C9">
        <v>0.5</v>
      </c>
      <c r="D9">
        <f t="shared" si="0"/>
        <v>50</v>
      </c>
    </row>
    <row r="10" spans="1:4" x14ac:dyDescent="0.15">
      <c r="A10" t="s">
        <v>82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83</v>
      </c>
      <c r="B11" t="s">
        <v>33</v>
      </c>
      <c r="C11">
        <v>3.5</v>
      </c>
      <c r="D11">
        <f t="shared" si="0"/>
        <v>350</v>
      </c>
    </row>
    <row r="12" spans="1:4" x14ac:dyDescent="0.15">
      <c r="A12" t="s">
        <v>84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85</v>
      </c>
      <c r="B13" t="s">
        <v>33</v>
      </c>
      <c r="C13">
        <v>0.5</v>
      </c>
      <c r="D13">
        <f t="shared" si="0"/>
        <v>50</v>
      </c>
    </row>
    <row r="14" spans="1:4" x14ac:dyDescent="0.15">
      <c r="A14" t="s">
        <v>86</v>
      </c>
      <c r="B14" t="s">
        <v>33</v>
      </c>
      <c r="C14">
        <v>0.5</v>
      </c>
      <c r="D14">
        <f t="shared" si="0"/>
        <v>50</v>
      </c>
    </row>
    <row r="15" spans="1:4" x14ac:dyDescent="0.15">
      <c r="A15" t="s">
        <v>87</v>
      </c>
      <c r="B15" t="s">
        <v>33</v>
      </c>
      <c r="C15">
        <v>0.5</v>
      </c>
      <c r="D15">
        <f t="shared" si="0"/>
        <v>50</v>
      </c>
    </row>
    <row r="16" spans="1:4" x14ac:dyDescent="0.15">
      <c r="A16" t="s">
        <v>88</v>
      </c>
      <c r="B16" t="s">
        <v>33</v>
      </c>
      <c r="C16">
        <v>0.5</v>
      </c>
      <c r="D16">
        <f t="shared" si="0"/>
        <v>50</v>
      </c>
    </row>
    <row r="17" spans="1:4" x14ac:dyDescent="0.15">
      <c r="A17" t="s">
        <v>89</v>
      </c>
      <c r="B17" t="s">
        <v>33</v>
      </c>
      <c r="C17">
        <v>3.5</v>
      </c>
      <c r="D17">
        <f t="shared" si="0"/>
        <v>350</v>
      </c>
    </row>
    <row r="18" spans="1:4" x14ac:dyDescent="0.15">
      <c r="A18" t="s">
        <v>90</v>
      </c>
      <c r="B18" t="s">
        <v>24</v>
      </c>
      <c r="C18">
        <v>8</v>
      </c>
      <c r="D18">
        <f t="shared" si="0"/>
        <v>1600</v>
      </c>
    </row>
    <row r="19" spans="1:4" x14ac:dyDescent="0.15">
      <c r="A19" t="s">
        <v>91</v>
      </c>
      <c r="B19" t="s">
        <v>33</v>
      </c>
      <c r="C19">
        <v>0.5</v>
      </c>
      <c r="D19">
        <f t="shared" si="0"/>
        <v>50</v>
      </c>
    </row>
    <row r="20" spans="1:4" x14ac:dyDescent="0.15">
      <c r="A20" t="s">
        <v>92</v>
      </c>
      <c r="B20" t="s">
        <v>33</v>
      </c>
      <c r="C20">
        <v>0.5</v>
      </c>
      <c r="D20">
        <f t="shared" si="0"/>
        <v>50</v>
      </c>
    </row>
    <row r="21" spans="1:4" x14ac:dyDescent="0.15">
      <c r="A21" t="s">
        <v>93</v>
      </c>
      <c r="B21" t="s">
        <v>33</v>
      </c>
      <c r="C21">
        <v>0.5</v>
      </c>
      <c r="D21">
        <f t="shared" si="0"/>
        <v>50</v>
      </c>
    </row>
    <row r="22" spans="1:4" x14ac:dyDescent="0.15">
      <c r="A22" t="s">
        <v>94</v>
      </c>
      <c r="B22" t="s">
        <v>33</v>
      </c>
      <c r="C22">
        <v>0.5</v>
      </c>
      <c r="D22">
        <f t="shared" si="0"/>
        <v>50</v>
      </c>
    </row>
    <row r="23" spans="1:4" x14ac:dyDescent="0.15">
      <c r="A23" t="s">
        <v>95</v>
      </c>
      <c r="B23" t="s">
        <v>33</v>
      </c>
      <c r="C23">
        <v>3.5</v>
      </c>
      <c r="D23">
        <f t="shared" si="0"/>
        <v>350</v>
      </c>
    </row>
    <row r="24" spans="1:4" x14ac:dyDescent="0.15">
      <c r="A24" t="s">
        <v>96</v>
      </c>
      <c r="B24" t="s">
        <v>24</v>
      </c>
      <c r="C24">
        <v>8</v>
      </c>
      <c r="D24">
        <f t="shared" si="0"/>
        <v>1600</v>
      </c>
    </row>
    <row r="25" spans="1:4" x14ac:dyDescent="0.15">
      <c r="A25" t="s">
        <v>97</v>
      </c>
      <c r="B25" t="s">
        <v>33</v>
      </c>
      <c r="C25">
        <v>0.5</v>
      </c>
      <c r="D25">
        <f t="shared" si="0"/>
        <v>50</v>
      </c>
    </row>
    <row r="26" spans="1:4" x14ac:dyDescent="0.15">
      <c r="A26" t="s">
        <v>98</v>
      </c>
      <c r="B26" t="s">
        <v>33</v>
      </c>
      <c r="C26">
        <v>0.5</v>
      </c>
      <c r="D26">
        <f t="shared" si="0"/>
        <v>50</v>
      </c>
    </row>
    <row r="27" spans="1:4" x14ac:dyDescent="0.15">
      <c r="A27" t="s">
        <v>99</v>
      </c>
      <c r="B27" t="s">
        <v>33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>
      <selection activeCell="D17" sqref="D17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100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101</v>
      </c>
      <c r="B2" t="s">
        <v>33</v>
      </c>
      <c r="C2">
        <v>0.5</v>
      </c>
      <c r="D2">
        <f t="shared" ref="D2:D22" si="0">IF(B2="","",IF(B2="是",C2*200,IF(B2="否",C2*100,"")))</f>
        <v>50</v>
      </c>
    </row>
    <row r="3" spans="1:4" x14ac:dyDescent="0.15">
      <c r="A3" t="s">
        <v>102</v>
      </c>
      <c r="B3" t="s">
        <v>33</v>
      </c>
      <c r="C3">
        <v>3.5</v>
      </c>
      <c r="D3">
        <f t="shared" si="0"/>
        <v>350</v>
      </c>
    </row>
    <row r="4" spans="1:4" x14ac:dyDescent="0.15">
      <c r="A4" t="s">
        <v>103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104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105</v>
      </c>
      <c r="B6" t="s">
        <v>33</v>
      </c>
      <c r="C6">
        <v>0.5</v>
      </c>
      <c r="D6">
        <f t="shared" si="0"/>
        <v>50</v>
      </c>
    </row>
    <row r="7" spans="1:4" x14ac:dyDescent="0.15">
      <c r="A7" t="s">
        <v>106</v>
      </c>
      <c r="B7" t="s">
        <v>33</v>
      </c>
      <c r="C7">
        <v>0.5</v>
      </c>
      <c r="D7">
        <f t="shared" si="0"/>
        <v>50</v>
      </c>
    </row>
    <row r="8" spans="1:4" x14ac:dyDescent="0.15">
      <c r="A8" t="s">
        <v>107</v>
      </c>
      <c r="B8" t="s">
        <v>33</v>
      </c>
      <c r="C8">
        <v>0.5</v>
      </c>
      <c r="D8">
        <f t="shared" si="0"/>
        <v>50</v>
      </c>
    </row>
    <row r="9" spans="1:4" x14ac:dyDescent="0.15">
      <c r="A9" t="s">
        <v>108</v>
      </c>
      <c r="B9" t="s">
        <v>33</v>
      </c>
      <c r="C9">
        <v>3.5</v>
      </c>
      <c r="D9">
        <f t="shared" si="0"/>
        <v>350</v>
      </c>
    </row>
    <row r="10" spans="1:4" x14ac:dyDescent="0.15">
      <c r="A10" t="s">
        <v>109</v>
      </c>
      <c r="B10" t="s">
        <v>24</v>
      </c>
      <c r="C10">
        <v>8</v>
      </c>
      <c r="D10">
        <f t="shared" si="0"/>
        <v>1600</v>
      </c>
    </row>
    <row r="11" spans="1:4" x14ac:dyDescent="0.15">
      <c r="A11" t="s">
        <v>110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111</v>
      </c>
      <c r="B12" t="s">
        <v>33</v>
      </c>
      <c r="C12">
        <v>0.5</v>
      </c>
      <c r="D12">
        <f t="shared" si="0"/>
        <v>50</v>
      </c>
    </row>
    <row r="13" spans="1:4" x14ac:dyDescent="0.15">
      <c r="A13" t="s">
        <v>112</v>
      </c>
      <c r="B13" t="s">
        <v>33</v>
      </c>
      <c r="C13">
        <v>0.5</v>
      </c>
      <c r="D13">
        <f t="shared" si="0"/>
        <v>50</v>
      </c>
    </row>
    <row r="14" spans="1:4" x14ac:dyDescent="0.15">
      <c r="A14" t="s">
        <v>113</v>
      </c>
      <c r="B14" t="s">
        <v>33</v>
      </c>
      <c r="C14">
        <v>0.5</v>
      </c>
      <c r="D14">
        <f t="shared" si="0"/>
        <v>50</v>
      </c>
    </row>
    <row r="15" spans="1:4" x14ac:dyDescent="0.15">
      <c r="A15" t="s">
        <v>114</v>
      </c>
      <c r="B15" t="s">
        <v>33</v>
      </c>
      <c r="C15">
        <v>3.5</v>
      </c>
      <c r="D15">
        <f t="shared" si="0"/>
        <v>350</v>
      </c>
    </row>
    <row r="16" spans="1:4" x14ac:dyDescent="0.15">
      <c r="A16" t="s">
        <v>115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116</v>
      </c>
      <c r="B17" t="s">
        <v>33</v>
      </c>
      <c r="C17">
        <v>0.5</v>
      </c>
      <c r="D17">
        <f t="shared" si="0"/>
        <v>50</v>
      </c>
    </row>
    <row r="18" spans="1:4" x14ac:dyDescent="0.15">
      <c r="A18" t="s">
        <v>117</v>
      </c>
      <c r="B18" t="s">
        <v>33</v>
      </c>
      <c r="C18">
        <v>0.5</v>
      </c>
      <c r="D18">
        <f t="shared" si="0"/>
        <v>50</v>
      </c>
    </row>
    <row r="19" spans="1:4" x14ac:dyDescent="0.15">
      <c r="A19" t="s">
        <v>118</v>
      </c>
      <c r="B19" t="s">
        <v>33</v>
      </c>
      <c r="C19">
        <v>0.5</v>
      </c>
      <c r="D19">
        <f t="shared" si="0"/>
        <v>50</v>
      </c>
    </row>
    <row r="20" spans="1:4" x14ac:dyDescent="0.15">
      <c r="A20" t="s">
        <v>119</v>
      </c>
      <c r="B20" t="s">
        <v>33</v>
      </c>
      <c r="C20">
        <v>0.5</v>
      </c>
      <c r="D20">
        <f t="shared" si="0"/>
        <v>50</v>
      </c>
    </row>
    <row r="21" spans="1:4" x14ac:dyDescent="0.15">
      <c r="A21" t="s">
        <v>120</v>
      </c>
      <c r="B21" t="s">
        <v>33</v>
      </c>
      <c r="C21">
        <v>3.5</v>
      </c>
      <c r="D21">
        <f t="shared" si="0"/>
        <v>350</v>
      </c>
    </row>
    <row r="22" spans="1:4" x14ac:dyDescent="0.15">
      <c r="A22" t="s">
        <v>121</v>
      </c>
      <c r="B22" t="s">
        <v>24</v>
      </c>
      <c r="C22">
        <v>8</v>
      </c>
      <c r="D22">
        <f t="shared" si="0"/>
        <v>1600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D31" sqref="D31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122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123</v>
      </c>
      <c r="B2" t="s">
        <v>33</v>
      </c>
      <c r="C2">
        <v>0.5</v>
      </c>
      <c r="D2">
        <f t="shared" ref="D2:D13" si="0">IF(B2="","",IF(B2="是",C2*200,IF(B2="否",C2*100,"")))</f>
        <v>50</v>
      </c>
    </row>
    <row r="3" spans="1:4" x14ac:dyDescent="0.15">
      <c r="A3" t="s">
        <v>124</v>
      </c>
      <c r="B3" t="s">
        <v>33</v>
      </c>
      <c r="C3">
        <v>0.5</v>
      </c>
      <c r="D3">
        <f t="shared" si="0"/>
        <v>50</v>
      </c>
    </row>
    <row r="4" spans="1:4" x14ac:dyDescent="0.15">
      <c r="A4" t="s">
        <v>125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126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127</v>
      </c>
      <c r="B6" t="s">
        <v>33</v>
      </c>
      <c r="C6">
        <v>3.5</v>
      </c>
      <c r="D6">
        <f t="shared" si="0"/>
        <v>350</v>
      </c>
    </row>
    <row r="7" spans="1:4" x14ac:dyDescent="0.15">
      <c r="A7" t="s">
        <v>128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129</v>
      </c>
      <c r="B8" t="s">
        <v>33</v>
      </c>
      <c r="C8">
        <v>0.5</v>
      </c>
      <c r="D8">
        <f t="shared" si="0"/>
        <v>50</v>
      </c>
    </row>
    <row r="9" spans="1:4" x14ac:dyDescent="0.15">
      <c r="A9" t="s">
        <v>130</v>
      </c>
      <c r="B9" t="s">
        <v>33</v>
      </c>
      <c r="C9">
        <v>0.5</v>
      </c>
      <c r="D9">
        <f t="shared" si="0"/>
        <v>50</v>
      </c>
    </row>
    <row r="10" spans="1:4" x14ac:dyDescent="0.15">
      <c r="A10" t="s">
        <v>131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132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133</v>
      </c>
      <c r="B12" t="s">
        <v>33</v>
      </c>
      <c r="C12">
        <v>3.5</v>
      </c>
      <c r="D12">
        <f t="shared" si="0"/>
        <v>350</v>
      </c>
    </row>
    <row r="13" spans="1:4" x14ac:dyDescent="0.15">
      <c r="A13" t="s">
        <v>134</v>
      </c>
      <c r="B13" t="s">
        <v>24</v>
      </c>
      <c r="C13">
        <v>8</v>
      </c>
      <c r="D13">
        <f t="shared" si="0"/>
        <v>1600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>
      <selection activeCell="D31" sqref="D31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135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136</v>
      </c>
      <c r="B2" t="s">
        <v>24</v>
      </c>
      <c r="C2">
        <v>8</v>
      </c>
      <c r="D2">
        <f t="shared" ref="D2:D24" si="0">IF(B2="","",IF(B2="是",C2*200,IF(B2="否",C2*100,"")))</f>
        <v>1600</v>
      </c>
    </row>
    <row r="3" spans="1:4" x14ac:dyDescent="0.15">
      <c r="A3" t="s">
        <v>137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138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139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140</v>
      </c>
      <c r="B6" t="s">
        <v>24</v>
      </c>
      <c r="C6">
        <v>8</v>
      </c>
      <c r="D6">
        <f t="shared" si="0"/>
        <v>1600</v>
      </c>
    </row>
    <row r="7" spans="1:4" x14ac:dyDescent="0.15">
      <c r="A7" t="s">
        <v>141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142</v>
      </c>
      <c r="B8" t="s">
        <v>24</v>
      </c>
      <c r="C8">
        <v>8</v>
      </c>
      <c r="D8">
        <f t="shared" si="0"/>
        <v>1600</v>
      </c>
    </row>
    <row r="9" spans="1:4" x14ac:dyDescent="0.15">
      <c r="A9" t="s">
        <v>143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144</v>
      </c>
      <c r="B10" t="s">
        <v>24</v>
      </c>
      <c r="C10">
        <v>8</v>
      </c>
      <c r="D10">
        <f t="shared" si="0"/>
        <v>1600</v>
      </c>
    </row>
    <row r="11" spans="1:4" x14ac:dyDescent="0.15">
      <c r="A11" t="s">
        <v>145</v>
      </c>
      <c r="B11" t="s">
        <v>24</v>
      </c>
      <c r="C11">
        <v>8</v>
      </c>
      <c r="D11">
        <f t="shared" si="0"/>
        <v>1600</v>
      </c>
    </row>
    <row r="12" spans="1:4" x14ac:dyDescent="0.15">
      <c r="A12" t="s">
        <v>146</v>
      </c>
      <c r="B12" t="s">
        <v>24</v>
      </c>
      <c r="C12">
        <v>8</v>
      </c>
      <c r="D12">
        <f t="shared" si="0"/>
        <v>1600</v>
      </c>
    </row>
    <row r="13" spans="1:4" x14ac:dyDescent="0.15">
      <c r="A13" t="s">
        <v>147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148</v>
      </c>
      <c r="B14" t="s">
        <v>24</v>
      </c>
      <c r="C14">
        <v>8</v>
      </c>
      <c r="D14">
        <f t="shared" si="0"/>
        <v>1600</v>
      </c>
    </row>
    <row r="15" spans="1:4" x14ac:dyDescent="0.15">
      <c r="A15" t="s">
        <v>149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150</v>
      </c>
      <c r="B16" t="s">
        <v>24</v>
      </c>
      <c r="C16">
        <v>8</v>
      </c>
      <c r="D16">
        <f t="shared" si="0"/>
        <v>1600</v>
      </c>
    </row>
    <row r="17" spans="1:4" x14ac:dyDescent="0.15">
      <c r="A17" t="s">
        <v>151</v>
      </c>
      <c r="B17" t="s">
        <v>24</v>
      </c>
      <c r="C17">
        <v>8</v>
      </c>
      <c r="D17">
        <f t="shared" si="0"/>
        <v>1600</v>
      </c>
    </row>
    <row r="18" spans="1:4" x14ac:dyDescent="0.15">
      <c r="A18" t="s">
        <v>152</v>
      </c>
      <c r="B18" t="s">
        <v>24</v>
      </c>
      <c r="C18">
        <v>8</v>
      </c>
      <c r="D18">
        <f t="shared" si="0"/>
        <v>1600</v>
      </c>
    </row>
    <row r="19" spans="1:4" x14ac:dyDescent="0.15">
      <c r="A19" t="s">
        <v>153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154</v>
      </c>
      <c r="B20" t="s">
        <v>24</v>
      </c>
      <c r="C20">
        <v>8</v>
      </c>
      <c r="D20">
        <f t="shared" si="0"/>
        <v>1600</v>
      </c>
    </row>
    <row r="21" spans="1:4" x14ac:dyDescent="0.15">
      <c r="A21" t="s">
        <v>155</v>
      </c>
      <c r="B21" t="s">
        <v>24</v>
      </c>
      <c r="C21">
        <v>8</v>
      </c>
      <c r="D21">
        <f t="shared" si="0"/>
        <v>1600</v>
      </c>
    </row>
    <row r="22" spans="1:4" x14ac:dyDescent="0.15">
      <c r="A22" t="s">
        <v>156</v>
      </c>
      <c r="B22" t="s">
        <v>24</v>
      </c>
      <c r="C22">
        <v>8</v>
      </c>
      <c r="D22">
        <f t="shared" si="0"/>
        <v>1600</v>
      </c>
    </row>
    <row r="23" spans="1:4" x14ac:dyDescent="0.15">
      <c r="A23" t="s">
        <v>157</v>
      </c>
      <c r="B23" t="s">
        <v>24</v>
      </c>
      <c r="C23">
        <v>8</v>
      </c>
      <c r="D23">
        <f t="shared" si="0"/>
        <v>1600</v>
      </c>
    </row>
    <row r="24" spans="1:4" x14ac:dyDescent="0.15">
      <c r="A24" t="s">
        <v>158</v>
      </c>
      <c r="B24" t="s">
        <v>24</v>
      </c>
      <c r="C24">
        <v>8</v>
      </c>
      <c r="D24">
        <f t="shared" si="0"/>
        <v>1600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selection activeCell="C27" sqref="C27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159</v>
      </c>
      <c r="B1" s="1" t="s">
        <v>20</v>
      </c>
      <c r="C1" s="1" t="s">
        <v>21</v>
      </c>
      <c r="D1" s="1" t="s">
        <v>22</v>
      </c>
    </row>
    <row r="2" spans="1:4" x14ac:dyDescent="0.15">
      <c r="A2" s="2" t="s">
        <v>160</v>
      </c>
      <c r="B2" t="s">
        <v>24</v>
      </c>
      <c r="C2">
        <v>8</v>
      </c>
      <c r="D2">
        <f t="shared" ref="D2:D16" si="0">IF(B2="","",IF(B2="是",C2*200,IF(B2="否",C2*100,"")))</f>
        <v>1600</v>
      </c>
    </row>
    <row r="3" spans="1:4" x14ac:dyDescent="0.15">
      <c r="A3" s="2" t="s">
        <v>161</v>
      </c>
      <c r="B3" t="s">
        <v>24</v>
      </c>
      <c r="C3">
        <v>8</v>
      </c>
      <c r="D3">
        <f t="shared" si="0"/>
        <v>1600</v>
      </c>
    </row>
    <row r="4" spans="1:4" x14ac:dyDescent="0.15">
      <c r="A4" s="2" t="s">
        <v>162</v>
      </c>
      <c r="B4" t="s">
        <v>24</v>
      </c>
      <c r="C4">
        <v>8</v>
      </c>
      <c r="D4">
        <f t="shared" si="0"/>
        <v>1600</v>
      </c>
    </row>
    <row r="5" spans="1:4" x14ac:dyDescent="0.15">
      <c r="A5" s="2" t="s">
        <v>163</v>
      </c>
      <c r="B5" t="s">
        <v>24</v>
      </c>
      <c r="C5">
        <v>8</v>
      </c>
      <c r="D5">
        <f t="shared" si="0"/>
        <v>1600</v>
      </c>
    </row>
    <row r="6" spans="1:4" x14ac:dyDescent="0.15">
      <c r="A6" s="2" t="s">
        <v>164</v>
      </c>
      <c r="B6" t="s">
        <v>24</v>
      </c>
      <c r="C6">
        <v>8</v>
      </c>
      <c r="D6">
        <f t="shared" si="0"/>
        <v>1600</v>
      </c>
    </row>
    <row r="7" spans="1:4" x14ac:dyDescent="0.15">
      <c r="A7" s="2" t="s">
        <v>165</v>
      </c>
      <c r="B7" t="s">
        <v>24</v>
      </c>
      <c r="C7">
        <v>8</v>
      </c>
      <c r="D7">
        <f t="shared" si="0"/>
        <v>1600</v>
      </c>
    </row>
    <row r="8" spans="1:4" x14ac:dyDescent="0.15">
      <c r="A8" s="2" t="s">
        <v>166</v>
      </c>
      <c r="B8" t="s">
        <v>24</v>
      </c>
      <c r="C8">
        <v>8</v>
      </c>
      <c r="D8">
        <f t="shared" si="0"/>
        <v>1600</v>
      </c>
    </row>
    <row r="9" spans="1:4" x14ac:dyDescent="0.15">
      <c r="A9" s="2" t="s">
        <v>167</v>
      </c>
      <c r="B9" t="s">
        <v>24</v>
      </c>
      <c r="C9">
        <v>8</v>
      </c>
      <c r="D9">
        <f t="shared" si="0"/>
        <v>1600</v>
      </c>
    </row>
    <row r="10" spans="1:4" x14ac:dyDescent="0.15">
      <c r="A10" s="2" t="s">
        <v>168</v>
      </c>
      <c r="B10" t="s">
        <v>24</v>
      </c>
      <c r="C10">
        <v>8</v>
      </c>
      <c r="D10">
        <f t="shared" si="0"/>
        <v>1600</v>
      </c>
    </row>
    <row r="11" spans="1:4" x14ac:dyDescent="0.15">
      <c r="A11" s="2" t="s">
        <v>169</v>
      </c>
      <c r="B11" t="s">
        <v>24</v>
      </c>
      <c r="C11">
        <v>8</v>
      </c>
      <c r="D11">
        <f t="shared" si="0"/>
        <v>1600</v>
      </c>
    </row>
    <row r="12" spans="1:4" x14ac:dyDescent="0.15">
      <c r="A12" s="2" t="s">
        <v>170</v>
      </c>
      <c r="B12" t="s">
        <v>24</v>
      </c>
      <c r="C12">
        <v>8</v>
      </c>
      <c r="D12">
        <f t="shared" si="0"/>
        <v>1600</v>
      </c>
    </row>
    <row r="13" spans="1:4" x14ac:dyDescent="0.15">
      <c r="A13" s="2" t="s">
        <v>171</v>
      </c>
      <c r="B13" t="s">
        <v>24</v>
      </c>
      <c r="C13">
        <v>8</v>
      </c>
      <c r="D13">
        <f t="shared" si="0"/>
        <v>1600</v>
      </c>
    </row>
    <row r="14" spans="1:4" x14ac:dyDescent="0.15">
      <c r="A14" s="2" t="s">
        <v>172</v>
      </c>
      <c r="B14" t="s">
        <v>24</v>
      </c>
      <c r="C14">
        <v>8</v>
      </c>
      <c r="D14">
        <f t="shared" si="0"/>
        <v>1600</v>
      </c>
    </row>
    <row r="15" spans="1:4" x14ac:dyDescent="0.15">
      <c r="A15" s="2" t="s">
        <v>173</v>
      </c>
      <c r="B15" t="s">
        <v>24</v>
      </c>
      <c r="C15">
        <v>8</v>
      </c>
      <c r="D15">
        <f t="shared" si="0"/>
        <v>1600</v>
      </c>
    </row>
    <row r="16" spans="1:4" x14ac:dyDescent="0.15">
      <c r="A16" s="2">
        <v>45892</v>
      </c>
      <c r="B16" t="s">
        <v>24</v>
      </c>
      <c r="C16">
        <v>8</v>
      </c>
      <c r="D16">
        <f t="shared" si="0"/>
        <v>1600</v>
      </c>
    </row>
    <row r="17" spans="1:4" x14ac:dyDescent="0.15">
      <c r="A17" s="2">
        <v>45893</v>
      </c>
      <c r="B17" t="s">
        <v>24</v>
      </c>
      <c r="C17">
        <v>8</v>
      </c>
      <c r="D17">
        <f t="shared" ref="D17" si="1">IF(B17="","",IF(B17="是",C17*200,IF(B17="否",C17*100,"")))</f>
        <v>1600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7"/>
  <sheetViews>
    <sheetView workbookViewId="0"/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174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175</v>
      </c>
      <c r="B2" t="s">
        <v>33</v>
      </c>
      <c r="C2">
        <v>0.5</v>
      </c>
      <c r="D2">
        <f t="shared" ref="D2:D27" si="0">IF(B2="","",IF(B2="是",C2*200,IF(B2="否",C2*100,"")))</f>
        <v>50</v>
      </c>
    </row>
    <row r="3" spans="1:4" x14ac:dyDescent="0.15">
      <c r="A3" t="s">
        <v>176</v>
      </c>
      <c r="B3" t="s">
        <v>33</v>
      </c>
      <c r="C3">
        <v>0.5</v>
      </c>
      <c r="D3">
        <f t="shared" si="0"/>
        <v>50</v>
      </c>
    </row>
    <row r="4" spans="1:4" x14ac:dyDescent="0.15">
      <c r="A4" t="s">
        <v>177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178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179</v>
      </c>
      <c r="B6" t="s">
        <v>33</v>
      </c>
      <c r="C6">
        <v>3.5</v>
      </c>
      <c r="D6">
        <f t="shared" si="0"/>
        <v>350</v>
      </c>
    </row>
    <row r="7" spans="1:4" x14ac:dyDescent="0.15">
      <c r="A7" t="s">
        <v>180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181</v>
      </c>
      <c r="B8" t="s">
        <v>33</v>
      </c>
      <c r="C8">
        <v>0.5</v>
      </c>
      <c r="D8">
        <f t="shared" si="0"/>
        <v>50</v>
      </c>
    </row>
    <row r="9" spans="1:4" x14ac:dyDescent="0.15">
      <c r="A9" t="s">
        <v>182</v>
      </c>
      <c r="B9" t="s">
        <v>33</v>
      </c>
      <c r="C9">
        <v>0.5</v>
      </c>
      <c r="D9">
        <f t="shared" si="0"/>
        <v>50</v>
      </c>
    </row>
    <row r="10" spans="1:4" x14ac:dyDescent="0.15">
      <c r="A10" t="s">
        <v>183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184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185</v>
      </c>
      <c r="B12" t="s">
        <v>33</v>
      </c>
      <c r="C12">
        <v>3.5</v>
      </c>
      <c r="D12">
        <f t="shared" si="0"/>
        <v>350</v>
      </c>
    </row>
    <row r="13" spans="1:4" x14ac:dyDescent="0.15">
      <c r="A13" t="s">
        <v>186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187</v>
      </c>
      <c r="B14" t="s">
        <v>33</v>
      </c>
      <c r="C14">
        <v>0.5</v>
      </c>
      <c r="D14">
        <f t="shared" si="0"/>
        <v>50</v>
      </c>
    </row>
    <row r="15" spans="1:4" x14ac:dyDescent="0.15">
      <c r="A15" t="s">
        <v>188</v>
      </c>
      <c r="B15" t="s">
        <v>33</v>
      </c>
      <c r="C15">
        <v>0.5</v>
      </c>
      <c r="D15">
        <f t="shared" si="0"/>
        <v>50</v>
      </c>
    </row>
    <row r="16" spans="1:4" x14ac:dyDescent="0.15">
      <c r="A16" t="s">
        <v>189</v>
      </c>
      <c r="B16" t="s">
        <v>33</v>
      </c>
      <c r="C16">
        <v>0.5</v>
      </c>
      <c r="D16">
        <f t="shared" si="0"/>
        <v>50</v>
      </c>
    </row>
    <row r="17" spans="1:4" x14ac:dyDescent="0.15">
      <c r="A17" t="s">
        <v>190</v>
      </c>
      <c r="B17" t="s">
        <v>33</v>
      </c>
      <c r="C17">
        <v>0.5</v>
      </c>
      <c r="D17">
        <f t="shared" si="0"/>
        <v>50</v>
      </c>
    </row>
    <row r="18" spans="1:4" x14ac:dyDescent="0.15">
      <c r="A18" t="s">
        <v>191</v>
      </c>
      <c r="B18" t="s">
        <v>33</v>
      </c>
      <c r="C18">
        <v>3.5</v>
      </c>
      <c r="D18">
        <f t="shared" si="0"/>
        <v>350</v>
      </c>
    </row>
    <row r="19" spans="1:4" x14ac:dyDescent="0.15">
      <c r="A19" t="s">
        <v>192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193</v>
      </c>
      <c r="B20" t="s">
        <v>33</v>
      </c>
      <c r="C20">
        <v>0.5</v>
      </c>
      <c r="D20">
        <f t="shared" si="0"/>
        <v>50</v>
      </c>
    </row>
    <row r="21" spans="1:4" x14ac:dyDescent="0.15">
      <c r="A21" t="s">
        <v>194</v>
      </c>
      <c r="B21" t="s">
        <v>33</v>
      </c>
      <c r="C21">
        <v>0.5</v>
      </c>
      <c r="D21">
        <f t="shared" si="0"/>
        <v>50</v>
      </c>
    </row>
    <row r="22" spans="1:4" x14ac:dyDescent="0.15">
      <c r="A22" t="s">
        <v>195</v>
      </c>
      <c r="B22" t="s">
        <v>33</v>
      </c>
      <c r="C22">
        <v>0.5</v>
      </c>
      <c r="D22">
        <f t="shared" si="0"/>
        <v>50</v>
      </c>
    </row>
    <row r="23" spans="1:4" x14ac:dyDescent="0.15">
      <c r="A23" t="s">
        <v>196</v>
      </c>
      <c r="B23" t="s">
        <v>33</v>
      </c>
      <c r="C23">
        <v>0.5</v>
      </c>
      <c r="D23">
        <f t="shared" si="0"/>
        <v>50</v>
      </c>
    </row>
    <row r="24" spans="1:4" x14ac:dyDescent="0.15">
      <c r="A24" t="s">
        <v>197</v>
      </c>
      <c r="B24" t="s">
        <v>33</v>
      </c>
      <c r="C24">
        <v>3.5</v>
      </c>
      <c r="D24">
        <f t="shared" si="0"/>
        <v>350</v>
      </c>
    </row>
    <row r="25" spans="1:4" x14ac:dyDescent="0.15">
      <c r="A25" t="s">
        <v>198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199</v>
      </c>
      <c r="B26" t="s">
        <v>33</v>
      </c>
      <c r="C26">
        <v>0.5</v>
      </c>
      <c r="D26">
        <f t="shared" si="0"/>
        <v>50</v>
      </c>
    </row>
    <row r="27" spans="1:4" x14ac:dyDescent="0.15">
      <c r="A27" t="s">
        <v>200</v>
      </c>
      <c r="B27" t="s">
        <v>33</v>
      </c>
      <c r="C27">
        <v>0.5</v>
      </c>
      <c r="D27">
        <f t="shared" si="0"/>
        <v>50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6"/>
  <sheetViews>
    <sheetView workbookViewId="0">
      <selection activeCell="A5" sqref="A5:XFD5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201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202</v>
      </c>
      <c r="B2" t="s">
        <v>24</v>
      </c>
      <c r="C2">
        <v>8</v>
      </c>
      <c r="D2">
        <f t="shared" ref="D2:D26" si="0">IF(B2="","",IF(B2="是",C2*200,IF(B2="否",C2*100,"")))</f>
        <v>1600</v>
      </c>
    </row>
    <row r="3" spans="1:4" x14ac:dyDescent="0.15">
      <c r="A3" t="s">
        <v>203</v>
      </c>
      <c r="B3" t="s">
        <v>24</v>
      </c>
      <c r="C3">
        <v>8</v>
      </c>
      <c r="D3">
        <f t="shared" si="0"/>
        <v>1600</v>
      </c>
    </row>
    <row r="4" spans="1:4" x14ac:dyDescent="0.15">
      <c r="A4" t="s">
        <v>204</v>
      </c>
      <c r="B4" t="s">
        <v>24</v>
      </c>
      <c r="C4">
        <v>8</v>
      </c>
      <c r="D4">
        <f t="shared" si="0"/>
        <v>1600</v>
      </c>
    </row>
    <row r="5" spans="1:4" x14ac:dyDescent="0.15">
      <c r="A5" t="s">
        <v>205</v>
      </c>
      <c r="B5" t="s">
        <v>24</v>
      </c>
      <c r="C5">
        <v>8</v>
      </c>
      <c r="D5">
        <f t="shared" si="0"/>
        <v>1600</v>
      </c>
    </row>
    <row r="6" spans="1:4" x14ac:dyDescent="0.15">
      <c r="A6" t="s">
        <v>206</v>
      </c>
      <c r="B6" t="s">
        <v>33</v>
      </c>
      <c r="C6">
        <v>0.5</v>
      </c>
      <c r="D6">
        <f t="shared" si="0"/>
        <v>50</v>
      </c>
    </row>
    <row r="7" spans="1:4" x14ac:dyDescent="0.15">
      <c r="A7" t="s">
        <v>207</v>
      </c>
      <c r="B7" t="s">
        <v>33</v>
      </c>
      <c r="C7">
        <v>0.5</v>
      </c>
      <c r="D7">
        <f t="shared" si="0"/>
        <v>50</v>
      </c>
    </row>
    <row r="8" spans="1:4" x14ac:dyDescent="0.15">
      <c r="A8" t="s">
        <v>208</v>
      </c>
      <c r="B8" t="s">
        <v>33</v>
      </c>
      <c r="C8">
        <v>3.5</v>
      </c>
      <c r="D8">
        <f t="shared" si="0"/>
        <v>350</v>
      </c>
    </row>
    <row r="9" spans="1:4" x14ac:dyDescent="0.15">
      <c r="A9" t="s">
        <v>209</v>
      </c>
      <c r="B9" t="s">
        <v>24</v>
      </c>
      <c r="C9">
        <v>8</v>
      </c>
      <c r="D9">
        <f t="shared" si="0"/>
        <v>1600</v>
      </c>
    </row>
    <row r="10" spans="1:4" x14ac:dyDescent="0.15">
      <c r="A10" t="s">
        <v>210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211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212</v>
      </c>
      <c r="B12" t="s">
        <v>33</v>
      </c>
      <c r="C12">
        <v>0.5</v>
      </c>
      <c r="D12">
        <f t="shared" si="0"/>
        <v>50</v>
      </c>
    </row>
    <row r="13" spans="1:4" x14ac:dyDescent="0.15">
      <c r="A13" t="s">
        <v>213</v>
      </c>
      <c r="B13" t="s">
        <v>33</v>
      </c>
      <c r="C13">
        <v>0.5</v>
      </c>
      <c r="D13">
        <f t="shared" si="0"/>
        <v>50</v>
      </c>
    </row>
    <row r="14" spans="1:4" x14ac:dyDescent="0.15">
      <c r="A14" t="s">
        <v>214</v>
      </c>
      <c r="B14" t="s">
        <v>33</v>
      </c>
      <c r="C14">
        <v>3.5</v>
      </c>
      <c r="D14">
        <f t="shared" si="0"/>
        <v>350</v>
      </c>
    </row>
    <row r="15" spans="1:4" x14ac:dyDescent="0.15">
      <c r="A15" t="s">
        <v>215</v>
      </c>
      <c r="B15" t="s">
        <v>24</v>
      </c>
      <c r="C15">
        <v>8</v>
      </c>
      <c r="D15">
        <f t="shared" si="0"/>
        <v>1600</v>
      </c>
    </row>
    <row r="16" spans="1:4" x14ac:dyDescent="0.15">
      <c r="A16" t="s">
        <v>216</v>
      </c>
      <c r="B16" t="s">
        <v>33</v>
      </c>
      <c r="C16">
        <v>0.5</v>
      </c>
      <c r="D16">
        <f t="shared" si="0"/>
        <v>50</v>
      </c>
    </row>
    <row r="17" spans="1:4" x14ac:dyDescent="0.15">
      <c r="A17" t="s">
        <v>217</v>
      </c>
      <c r="B17" t="s">
        <v>33</v>
      </c>
      <c r="C17">
        <v>0.5</v>
      </c>
      <c r="D17">
        <f t="shared" si="0"/>
        <v>50</v>
      </c>
    </row>
    <row r="18" spans="1:4" x14ac:dyDescent="0.15">
      <c r="A18" t="s">
        <v>218</v>
      </c>
      <c r="B18" t="s">
        <v>33</v>
      </c>
      <c r="C18">
        <v>0.5</v>
      </c>
      <c r="D18">
        <f t="shared" si="0"/>
        <v>50</v>
      </c>
    </row>
    <row r="19" spans="1:4" x14ac:dyDescent="0.15">
      <c r="A19" t="s">
        <v>219</v>
      </c>
      <c r="B19" t="s">
        <v>33</v>
      </c>
      <c r="C19">
        <v>0.5</v>
      </c>
      <c r="D19">
        <f t="shared" si="0"/>
        <v>50</v>
      </c>
    </row>
    <row r="20" spans="1:4" x14ac:dyDescent="0.15">
      <c r="A20" t="s">
        <v>220</v>
      </c>
      <c r="B20" t="s">
        <v>33</v>
      </c>
      <c r="C20">
        <v>3.5</v>
      </c>
      <c r="D20">
        <f t="shared" si="0"/>
        <v>350</v>
      </c>
    </row>
    <row r="21" spans="1:4" x14ac:dyDescent="0.15">
      <c r="A21" t="s">
        <v>221</v>
      </c>
      <c r="B21" t="s">
        <v>24</v>
      </c>
      <c r="C21">
        <v>8</v>
      </c>
      <c r="D21">
        <f t="shared" si="0"/>
        <v>1600</v>
      </c>
    </row>
    <row r="22" spans="1:4" x14ac:dyDescent="0.15">
      <c r="A22" t="s">
        <v>222</v>
      </c>
      <c r="B22" t="s">
        <v>33</v>
      </c>
      <c r="C22">
        <v>0.5</v>
      </c>
      <c r="D22">
        <f t="shared" si="0"/>
        <v>50</v>
      </c>
    </row>
    <row r="23" spans="1:4" x14ac:dyDescent="0.15">
      <c r="A23" t="s">
        <v>223</v>
      </c>
      <c r="B23" t="s">
        <v>33</v>
      </c>
      <c r="C23">
        <v>0.5</v>
      </c>
      <c r="D23">
        <f t="shared" si="0"/>
        <v>50</v>
      </c>
    </row>
    <row r="24" spans="1:4" x14ac:dyDescent="0.15">
      <c r="A24" t="s">
        <v>224</v>
      </c>
      <c r="B24" t="s">
        <v>33</v>
      </c>
      <c r="C24">
        <v>0.5</v>
      </c>
      <c r="D24">
        <f t="shared" si="0"/>
        <v>50</v>
      </c>
    </row>
    <row r="25" spans="1:4" x14ac:dyDescent="0.15">
      <c r="A25" t="s">
        <v>225</v>
      </c>
      <c r="B25" t="s">
        <v>33</v>
      </c>
      <c r="C25">
        <v>0.5</v>
      </c>
      <c r="D25">
        <f t="shared" si="0"/>
        <v>50</v>
      </c>
    </row>
    <row r="26" spans="1:4" x14ac:dyDescent="0.15">
      <c r="A26" t="s">
        <v>226</v>
      </c>
      <c r="B26" t="s">
        <v>33</v>
      </c>
      <c r="C26">
        <v>3.5</v>
      </c>
      <c r="D26">
        <f t="shared" si="0"/>
        <v>350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workbookViewId="0"/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227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228</v>
      </c>
      <c r="B2" t="s">
        <v>24</v>
      </c>
      <c r="C2">
        <v>8</v>
      </c>
      <c r="D2">
        <f t="shared" ref="D2:D26" si="0">IF(B2="","",IF(B2="是",C2*200,IF(B2="否",C2*100,"")))</f>
        <v>1600</v>
      </c>
    </row>
    <row r="3" spans="1:4" x14ac:dyDescent="0.15">
      <c r="A3" t="s">
        <v>229</v>
      </c>
      <c r="B3" t="s">
        <v>33</v>
      </c>
      <c r="C3">
        <v>0.5</v>
      </c>
      <c r="D3">
        <f t="shared" si="0"/>
        <v>50</v>
      </c>
    </row>
    <row r="4" spans="1:4" x14ac:dyDescent="0.15">
      <c r="A4" t="s">
        <v>230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231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232</v>
      </c>
      <c r="B6" t="s">
        <v>33</v>
      </c>
      <c r="C6">
        <v>0.5</v>
      </c>
      <c r="D6">
        <f t="shared" si="0"/>
        <v>50</v>
      </c>
    </row>
    <row r="7" spans="1:4" x14ac:dyDescent="0.15">
      <c r="A7" t="s">
        <v>233</v>
      </c>
      <c r="B7" t="s">
        <v>33</v>
      </c>
      <c r="C7">
        <v>3.5</v>
      </c>
      <c r="D7">
        <f t="shared" si="0"/>
        <v>350</v>
      </c>
    </row>
    <row r="8" spans="1:4" x14ac:dyDescent="0.15">
      <c r="A8" t="s">
        <v>234</v>
      </c>
      <c r="B8" t="s">
        <v>24</v>
      </c>
      <c r="C8">
        <v>8</v>
      </c>
      <c r="D8">
        <f t="shared" si="0"/>
        <v>1600</v>
      </c>
    </row>
    <row r="9" spans="1:4" x14ac:dyDescent="0.15">
      <c r="A9" t="s">
        <v>235</v>
      </c>
      <c r="B9" t="s">
        <v>33</v>
      </c>
      <c r="C9">
        <v>0.5</v>
      </c>
      <c r="D9">
        <f t="shared" si="0"/>
        <v>50</v>
      </c>
    </row>
    <row r="10" spans="1:4" x14ac:dyDescent="0.15">
      <c r="A10" t="s">
        <v>236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237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238</v>
      </c>
      <c r="B12" t="s">
        <v>33</v>
      </c>
      <c r="C12">
        <v>0.5</v>
      </c>
      <c r="D12">
        <f t="shared" si="0"/>
        <v>50</v>
      </c>
    </row>
    <row r="13" spans="1:4" x14ac:dyDescent="0.15">
      <c r="A13" t="s">
        <v>239</v>
      </c>
      <c r="B13" t="s">
        <v>33</v>
      </c>
      <c r="C13">
        <v>3.5</v>
      </c>
      <c r="D13">
        <f t="shared" si="0"/>
        <v>350</v>
      </c>
    </row>
    <row r="14" spans="1:4" x14ac:dyDescent="0.15">
      <c r="A14" t="s">
        <v>240</v>
      </c>
      <c r="B14" t="s">
        <v>24</v>
      </c>
      <c r="C14">
        <v>8</v>
      </c>
      <c r="D14">
        <f t="shared" si="0"/>
        <v>1600</v>
      </c>
    </row>
    <row r="15" spans="1:4" x14ac:dyDescent="0.15">
      <c r="A15" t="s">
        <v>241</v>
      </c>
      <c r="B15" t="s">
        <v>33</v>
      </c>
      <c r="C15">
        <v>0.5</v>
      </c>
      <c r="D15">
        <f t="shared" si="0"/>
        <v>50</v>
      </c>
    </row>
    <row r="16" spans="1:4" x14ac:dyDescent="0.15">
      <c r="A16" t="s">
        <v>242</v>
      </c>
      <c r="B16" t="s">
        <v>33</v>
      </c>
      <c r="C16">
        <v>0.5</v>
      </c>
      <c r="D16">
        <f t="shared" si="0"/>
        <v>50</v>
      </c>
    </row>
    <row r="17" spans="1:4" x14ac:dyDescent="0.15">
      <c r="A17" t="s">
        <v>243</v>
      </c>
      <c r="B17" t="s">
        <v>33</v>
      </c>
      <c r="C17">
        <v>0.5</v>
      </c>
      <c r="D17">
        <f t="shared" si="0"/>
        <v>50</v>
      </c>
    </row>
    <row r="18" spans="1:4" x14ac:dyDescent="0.15">
      <c r="A18" t="s">
        <v>244</v>
      </c>
      <c r="B18" t="s">
        <v>33</v>
      </c>
      <c r="C18">
        <v>0.5</v>
      </c>
      <c r="D18">
        <f t="shared" si="0"/>
        <v>50</v>
      </c>
    </row>
    <row r="19" spans="1:4" x14ac:dyDescent="0.15">
      <c r="A19" t="s">
        <v>245</v>
      </c>
      <c r="B19" t="s">
        <v>33</v>
      </c>
      <c r="C19">
        <v>3.5</v>
      </c>
      <c r="D19">
        <f t="shared" si="0"/>
        <v>350</v>
      </c>
    </row>
    <row r="20" spans="1:4" x14ac:dyDescent="0.15">
      <c r="A20" t="s">
        <v>246</v>
      </c>
      <c r="B20" t="s">
        <v>24</v>
      </c>
      <c r="C20">
        <v>8</v>
      </c>
      <c r="D20">
        <f t="shared" si="0"/>
        <v>1600</v>
      </c>
    </row>
    <row r="21" spans="1:4" x14ac:dyDescent="0.15">
      <c r="A21" t="s">
        <v>247</v>
      </c>
      <c r="B21" t="s">
        <v>33</v>
      </c>
      <c r="C21">
        <v>0.5</v>
      </c>
      <c r="D21">
        <f t="shared" si="0"/>
        <v>50</v>
      </c>
    </row>
    <row r="22" spans="1:4" x14ac:dyDescent="0.15">
      <c r="A22" t="s">
        <v>248</v>
      </c>
      <c r="B22" t="s">
        <v>33</v>
      </c>
      <c r="C22">
        <v>0.5</v>
      </c>
      <c r="D22">
        <f t="shared" si="0"/>
        <v>50</v>
      </c>
    </row>
    <row r="23" spans="1:4" x14ac:dyDescent="0.15">
      <c r="A23" t="s">
        <v>249</v>
      </c>
      <c r="B23" t="s">
        <v>33</v>
      </c>
      <c r="C23">
        <v>0.5</v>
      </c>
      <c r="D23">
        <f t="shared" si="0"/>
        <v>50</v>
      </c>
    </row>
    <row r="24" spans="1:4" x14ac:dyDescent="0.15">
      <c r="A24" t="s">
        <v>250</v>
      </c>
      <c r="B24" t="s">
        <v>33</v>
      </c>
      <c r="C24">
        <v>0.5</v>
      </c>
      <c r="D24">
        <f t="shared" si="0"/>
        <v>50</v>
      </c>
    </row>
    <row r="25" spans="1:4" x14ac:dyDescent="0.15">
      <c r="A25" t="s">
        <v>251</v>
      </c>
      <c r="B25" t="s">
        <v>33</v>
      </c>
      <c r="C25">
        <v>3.5</v>
      </c>
      <c r="D25">
        <f t="shared" si="0"/>
        <v>350</v>
      </c>
    </row>
    <row r="26" spans="1:4" x14ac:dyDescent="0.15">
      <c r="A26" t="s">
        <v>252</v>
      </c>
      <c r="B26" t="s">
        <v>24</v>
      </c>
      <c r="C26">
        <v>8</v>
      </c>
      <c r="D26">
        <f t="shared" si="0"/>
        <v>1600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8"/>
  <sheetViews>
    <sheetView workbookViewId="0">
      <selection activeCell="D36" sqref="D36"/>
    </sheetView>
  </sheetViews>
  <sheetFormatPr defaultColWidth="9" defaultRowHeight="13.5" x14ac:dyDescent="0.15"/>
  <cols>
    <col min="1" max="1" width="12" customWidth="1"/>
    <col min="2" max="2" width="9" customWidth="1"/>
    <col min="3" max="3" width="10" customWidth="1"/>
    <col min="4" max="4" width="59" customWidth="1"/>
  </cols>
  <sheetData>
    <row r="1" spans="1:4" x14ac:dyDescent="0.15">
      <c r="A1" s="1" t="s">
        <v>253</v>
      </c>
      <c r="B1" s="1" t="s">
        <v>20</v>
      </c>
      <c r="C1" s="1" t="s">
        <v>21</v>
      </c>
      <c r="D1" s="1" t="s">
        <v>22</v>
      </c>
    </row>
    <row r="2" spans="1:4" x14ac:dyDescent="0.15">
      <c r="A2" t="s">
        <v>254</v>
      </c>
      <c r="B2" t="s">
        <v>33</v>
      </c>
      <c r="C2">
        <v>0.5</v>
      </c>
      <c r="D2">
        <f t="shared" ref="D2:D28" si="0">IF(B2="","",IF(B2="是",C2*200,IF(B2="否",C2*100,"")))</f>
        <v>50</v>
      </c>
    </row>
    <row r="3" spans="1:4" x14ac:dyDescent="0.15">
      <c r="A3" t="s">
        <v>255</v>
      </c>
      <c r="B3" t="s">
        <v>33</v>
      </c>
      <c r="C3">
        <v>0.5</v>
      </c>
      <c r="D3">
        <f t="shared" si="0"/>
        <v>50</v>
      </c>
    </row>
    <row r="4" spans="1:4" x14ac:dyDescent="0.15">
      <c r="A4" t="s">
        <v>256</v>
      </c>
      <c r="B4" t="s">
        <v>33</v>
      </c>
      <c r="C4">
        <v>0.5</v>
      </c>
      <c r="D4">
        <f t="shared" si="0"/>
        <v>50</v>
      </c>
    </row>
    <row r="5" spans="1:4" x14ac:dyDescent="0.15">
      <c r="A5" t="s">
        <v>257</v>
      </c>
      <c r="B5" t="s">
        <v>33</v>
      </c>
      <c r="C5">
        <v>0.5</v>
      </c>
      <c r="D5">
        <f t="shared" si="0"/>
        <v>50</v>
      </c>
    </row>
    <row r="6" spans="1:4" x14ac:dyDescent="0.15">
      <c r="A6" t="s">
        <v>258</v>
      </c>
      <c r="B6" t="s">
        <v>33</v>
      </c>
      <c r="C6">
        <v>3.5</v>
      </c>
      <c r="D6">
        <f t="shared" si="0"/>
        <v>350</v>
      </c>
    </row>
    <row r="7" spans="1:4" x14ac:dyDescent="0.15">
      <c r="A7" t="s">
        <v>259</v>
      </c>
      <c r="B7" t="s">
        <v>24</v>
      </c>
      <c r="C7">
        <v>8</v>
      </c>
      <c r="D7">
        <f t="shared" si="0"/>
        <v>1600</v>
      </c>
    </row>
    <row r="8" spans="1:4" x14ac:dyDescent="0.15">
      <c r="A8" t="s">
        <v>260</v>
      </c>
      <c r="B8" t="s">
        <v>33</v>
      </c>
      <c r="C8">
        <v>0.5</v>
      </c>
      <c r="D8">
        <f t="shared" si="0"/>
        <v>50</v>
      </c>
    </row>
    <row r="9" spans="1:4" x14ac:dyDescent="0.15">
      <c r="A9" t="s">
        <v>261</v>
      </c>
      <c r="B9" t="s">
        <v>33</v>
      </c>
      <c r="C9">
        <v>0.5</v>
      </c>
      <c r="D9">
        <f t="shared" si="0"/>
        <v>50</v>
      </c>
    </row>
    <row r="10" spans="1:4" x14ac:dyDescent="0.15">
      <c r="A10" t="s">
        <v>262</v>
      </c>
      <c r="B10" t="s">
        <v>33</v>
      </c>
      <c r="C10">
        <v>0.5</v>
      </c>
      <c r="D10">
        <f t="shared" si="0"/>
        <v>50</v>
      </c>
    </row>
    <row r="11" spans="1:4" x14ac:dyDescent="0.15">
      <c r="A11" t="s">
        <v>263</v>
      </c>
      <c r="B11" t="s">
        <v>33</v>
      </c>
      <c r="C11">
        <v>0.5</v>
      </c>
      <c r="D11">
        <f t="shared" si="0"/>
        <v>50</v>
      </c>
    </row>
    <row r="12" spans="1:4" x14ac:dyDescent="0.15">
      <c r="A12" t="s">
        <v>264</v>
      </c>
      <c r="B12" t="s">
        <v>33</v>
      </c>
      <c r="C12">
        <v>3.5</v>
      </c>
      <c r="D12">
        <f t="shared" si="0"/>
        <v>350</v>
      </c>
    </row>
    <row r="13" spans="1:4" x14ac:dyDescent="0.15">
      <c r="A13" t="s">
        <v>265</v>
      </c>
      <c r="B13" t="s">
        <v>24</v>
      </c>
      <c r="C13">
        <v>8</v>
      </c>
      <c r="D13">
        <f t="shared" si="0"/>
        <v>1600</v>
      </c>
    </row>
    <row r="14" spans="1:4" x14ac:dyDescent="0.15">
      <c r="A14" t="s">
        <v>266</v>
      </c>
      <c r="B14" t="s">
        <v>33</v>
      </c>
      <c r="C14">
        <v>0.5</v>
      </c>
      <c r="D14">
        <f t="shared" si="0"/>
        <v>50</v>
      </c>
    </row>
    <row r="15" spans="1:4" x14ac:dyDescent="0.15">
      <c r="A15" t="s">
        <v>267</v>
      </c>
      <c r="B15" t="s">
        <v>33</v>
      </c>
      <c r="C15">
        <v>0.5</v>
      </c>
      <c r="D15">
        <f t="shared" si="0"/>
        <v>50</v>
      </c>
    </row>
    <row r="16" spans="1:4" x14ac:dyDescent="0.15">
      <c r="A16" t="s">
        <v>268</v>
      </c>
      <c r="B16" t="s">
        <v>33</v>
      </c>
      <c r="C16">
        <v>0.5</v>
      </c>
      <c r="D16">
        <f t="shared" si="0"/>
        <v>50</v>
      </c>
    </row>
    <row r="17" spans="1:4" x14ac:dyDescent="0.15">
      <c r="A17" t="s">
        <v>269</v>
      </c>
      <c r="B17" t="s">
        <v>33</v>
      </c>
      <c r="C17">
        <v>0.5</v>
      </c>
      <c r="D17">
        <f t="shared" si="0"/>
        <v>50</v>
      </c>
    </row>
    <row r="18" spans="1:4" x14ac:dyDescent="0.15">
      <c r="A18" t="s">
        <v>270</v>
      </c>
      <c r="B18" t="s">
        <v>33</v>
      </c>
      <c r="C18">
        <v>3.5</v>
      </c>
      <c r="D18">
        <f t="shared" si="0"/>
        <v>350</v>
      </c>
    </row>
    <row r="19" spans="1:4" x14ac:dyDescent="0.15">
      <c r="A19" t="s">
        <v>271</v>
      </c>
      <c r="B19" t="s">
        <v>24</v>
      </c>
      <c r="C19">
        <v>8</v>
      </c>
      <c r="D19">
        <f t="shared" si="0"/>
        <v>1600</v>
      </c>
    </row>
    <row r="20" spans="1:4" x14ac:dyDescent="0.15">
      <c r="A20" t="s">
        <v>272</v>
      </c>
      <c r="B20" t="s">
        <v>33</v>
      </c>
      <c r="C20">
        <v>0.5</v>
      </c>
      <c r="D20">
        <f t="shared" si="0"/>
        <v>50</v>
      </c>
    </row>
    <row r="21" spans="1:4" x14ac:dyDescent="0.15">
      <c r="A21" t="s">
        <v>273</v>
      </c>
      <c r="B21" t="s">
        <v>33</v>
      </c>
      <c r="C21">
        <v>0.5</v>
      </c>
      <c r="D21">
        <f t="shared" si="0"/>
        <v>50</v>
      </c>
    </row>
    <row r="22" spans="1:4" x14ac:dyDescent="0.15">
      <c r="A22" t="s">
        <v>274</v>
      </c>
      <c r="B22" t="s">
        <v>33</v>
      </c>
      <c r="C22">
        <v>0.5</v>
      </c>
      <c r="D22">
        <f t="shared" si="0"/>
        <v>50</v>
      </c>
    </row>
    <row r="23" spans="1:4" x14ac:dyDescent="0.15">
      <c r="A23" t="s">
        <v>275</v>
      </c>
      <c r="B23" t="s">
        <v>33</v>
      </c>
      <c r="C23">
        <v>0.5</v>
      </c>
      <c r="D23">
        <f t="shared" si="0"/>
        <v>50</v>
      </c>
    </row>
    <row r="24" spans="1:4" x14ac:dyDescent="0.15">
      <c r="A24" t="s">
        <v>276</v>
      </c>
      <c r="B24" t="s">
        <v>33</v>
      </c>
      <c r="C24">
        <v>3.5</v>
      </c>
      <c r="D24">
        <f t="shared" si="0"/>
        <v>350</v>
      </c>
    </row>
    <row r="25" spans="1:4" x14ac:dyDescent="0.15">
      <c r="A25" t="s">
        <v>277</v>
      </c>
      <c r="B25" t="s">
        <v>24</v>
      </c>
      <c r="C25">
        <v>8</v>
      </c>
      <c r="D25">
        <f t="shared" si="0"/>
        <v>1600</v>
      </c>
    </row>
    <row r="26" spans="1:4" x14ac:dyDescent="0.15">
      <c r="A26" t="s">
        <v>278</v>
      </c>
      <c r="B26" t="s">
        <v>33</v>
      </c>
      <c r="C26">
        <v>0.5</v>
      </c>
      <c r="D26">
        <f t="shared" si="0"/>
        <v>50</v>
      </c>
    </row>
    <row r="27" spans="1:4" x14ac:dyDescent="0.15">
      <c r="A27" t="s">
        <v>279</v>
      </c>
      <c r="B27" t="s">
        <v>33</v>
      </c>
      <c r="C27">
        <v>0.5</v>
      </c>
      <c r="D27">
        <f t="shared" si="0"/>
        <v>50</v>
      </c>
    </row>
    <row r="28" spans="1:4" x14ac:dyDescent="0.15">
      <c r="A28" t="s">
        <v>280</v>
      </c>
      <c r="B28" t="s">
        <v>33</v>
      </c>
      <c r="C28">
        <v>0.5</v>
      </c>
      <c r="D28">
        <f t="shared" si="0"/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封面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昱安 陈</cp:lastModifiedBy>
  <dcterms:created xsi:type="dcterms:W3CDTF">2026-03-04T06:25:00Z</dcterms:created>
  <dcterms:modified xsi:type="dcterms:W3CDTF">2026-03-11T07:00:30Z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AF03EE58B2574857B9A70EC787F83B07_12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