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10455" activeTab="2"/>
  </bookViews>
  <sheets>
    <sheet name="封面" sheetId="1" r:id="rId1"/>
    <sheet name="1月" sheetId="2" r:id="rId2"/>
    <sheet name="2月" sheetId="3" r:id="rId3"/>
    <sheet name="3月" sheetId="4" r:id="rId4"/>
    <sheet name="4月" sheetId="5" r:id="rId5"/>
    <sheet name="5月" sheetId="6" r:id="rId6"/>
    <sheet name="6月" sheetId="7" r:id="rId7"/>
    <sheet name="7月" sheetId="8" r:id="rId8"/>
    <sheet name="8月" sheetId="9" r:id="rId9"/>
    <sheet name="9月" sheetId="10" r:id="rId10"/>
    <sheet name="10月" sheetId="11" r:id="rId11"/>
    <sheet name="11月" sheetId="12" r:id="rId12"/>
    <sheet name="12月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<sst xmlns="http://schemas.openxmlformats.org/spreadsheetml/2006/main" count="559" uniqueCount="282">
  <si>
    <t>月份</t>
  </si>
  <si>
    <t>工作日训练时长</t>
  </si>
  <si>
    <t>节假日训练时长</t>
  </si>
  <si>
    <t>工作日金额（x100）</t>
  </si>
  <si>
    <t>节假日金额（x200）</t>
  </si>
  <si>
    <t>总金额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</si>
  <si>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</si>
  <si>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</si>
  <si>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</si>
  <si>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</si>
  <si>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</si>
  <si>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</si>
  <si>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</si>
  <si>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</si>
  <si>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</si>
  <si>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</si>
  <si>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</si>
  <si>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</si>
  <si>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合计</t>
  </si>
  <si>
    <t>1月训练日期</t>
  </si>
  <si>
    <t>是否法定节假日</t>
  </si>
  <si>
    <t>训练时长（小时）</t>
  </si>
  <si>
    <t>金额</t>
  </si>
  <si>
    <t>2025-01-18</t>
  </si>
  <si>
    <t>是</t>
  </si>
  <si>
    <t>2025-01-20</t>
  </si>
  <si>
    <t>2025-01-21</t>
  </si>
  <si>
    <t>2025-01-22</t>
  </si>
  <si>
    <t>2025-01-23</t>
  </si>
  <si>
    <t>2025-01-24</t>
  </si>
  <si>
    <t>2025-01-25</t>
  </si>
  <si>
    <t>2月训练日期</t>
  </si>
  <si>
    <t>2025-02-14</t>
  </si>
  <si>
    <t>否</t>
  </si>
  <si>
    <t>2025-02-15</t>
  </si>
  <si>
    <t>2025-02-17</t>
  </si>
  <si>
    <t>2025-02-18</t>
  </si>
  <si>
    <t>2025-02-19</t>
  </si>
  <si>
    <t>2025-02-20</t>
  </si>
  <si>
    <t>2025-02-21</t>
  </si>
  <si>
    <t>2025-02-22</t>
  </si>
  <si>
    <t>2025-02-24</t>
  </si>
  <si>
    <t>2025-02-25</t>
  </si>
  <si>
    <t>2025-02-26</t>
  </si>
  <si>
    <t>2025-02-27</t>
  </si>
  <si>
    <t>2025-02-28</t>
  </si>
  <si>
    <t>3月训练日期</t>
  </si>
  <si>
    <t>2025-03-01</t>
  </si>
  <si>
    <t>2025-03-03</t>
  </si>
  <si>
    <t>2025-03-04</t>
  </si>
  <si>
    <t>2025-03-05</t>
  </si>
  <si>
    <t>2025-03-06</t>
  </si>
  <si>
    <t>2025-03-07</t>
  </si>
  <si>
    <t>2025-03-08</t>
  </si>
  <si>
    <t>2025-03-10</t>
  </si>
  <si>
    <t>2025-03-11</t>
  </si>
  <si>
    <t>2025-03-12</t>
  </si>
  <si>
    <t>2025-03-13</t>
  </si>
  <si>
    <t>2025-03-14</t>
  </si>
  <si>
    <t>2025-03-15</t>
  </si>
  <si>
    <t>2025-03-17</t>
  </si>
  <si>
    <t>2025-03-18</t>
  </si>
  <si>
    <t>2025-03-19</t>
  </si>
  <si>
    <t>2025-03-20</t>
  </si>
  <si>
    <t>2025-03-21</t>
  </si>
  <si>
    <t>2025-03-22</t>
  </si>
  <si>
    <t>2025-03-24</t>
  </si>
  <si>
    <t>2025-03-25</t>
  </si>
  <si>
    <t>2025-03-26</t>
  </si>
  <si>
    <t>2025-03-27</t>
  </si>
  <si>
    <t>2025-03-28</t>
  </si>
  <si>
    <t>2025-03-29</t>
  </si>
  <si>
    <t>2025-03-31</t>
  </si>
  <si>
    <t>4月训练日期</t>
  </si>
  <si>
    <t>2025-04-01</t>
  </si>
  <si>
    <t>2025-04-02</t>
  </si>
  <si>
    <t>2025-04-03</t>
  </si>
  <si>
    <t>2025-04-04</t>
  </si>
  <si>
    <t>2025-04-05</t>
  </si>
  <si>
    <t>2025-04-07</t>
  </si>
  <si>
    <t>2025-04-08</t>
  </si>
  <si>
    <t>2025-04-09</t>
  </si>
  <si>
    <t>2025-04-10</t>
  </si>
  <si>
    <t>2025-04-11</t>
  </si>
  <si>
    <t>2025-04-12</t>
  </si>
  <si>
    <t>2025-04-14</t>
  </si>
  <si>
    <t>2025-04-15</t>
  </si>
  <si>
    <t>2025-04-16</t>
  </si>
  <si>
    <t>2025-04-17</t>
  </si>
  <si>
    <t>2025-04-18</t>
  </si>
  <si>
    <t>2025-04-19</t>
  </si>
  <si>
    <t>2025-04-21</t>
  </si>
  <si>
    <t>2025-04-22</t>
  </si>
  <si>
    <t>2025-04-23</t>
  </si>
  <si>
    <t>2025-04-24</t>
  </si>
  <si>
    <t>2025-04-25</t>
  </si>
  <si>
    <t>2025-04-26</t>
  </si>
  <si>
    <t>2025-04-28</t>
  </si>
  <si>
    <t>2025-04-29</t>
  </si>
  <si>
    <t>2025-04-30</t>
  </si>
  <si>
    <t>5月训练日期</t>
  </si>
  <si>
    <t>2025-05-08</t>
  </si>
  <si>
    <t>2025-05-09</t>
  </si>
  <si>
    <t>2025-05-10</t>
  </si>
  <si>
    <t>2025-05-12</t>
  </si>
  <si>
    <t>2025-05-13</t>
  </si>
  <si>
    <t>2025-05-14</t>
  </si>
  <si>
    <t>2025-05-15</t>
  </si>
  <si>
    <t>2025-05-16</t>
  </si>
  <si>
    <t>2025-05-17</t>
  </si>
  <si>
    <t>2025-05-19</t>
  </si>
  <si>
    <t>2025-05-20</t>
  </si>
  <si>
    <t>2025-05-21</t>
  </si>
  <si>
    <t>2025-05-22</t>
  </si>
  <si>
    <t>2025-05-23</t>
  </si>
  <si>
    <t>2025-05-24</t>
  </si>
  <si>
    <t>2025-05-26</t>
  </si>
  <si>
    <t>2025-05-27</t>
  </si>
  <si>
    <t>2025-05-28</t>
  </si>
  <si>
    <t>2025-05-29</t>
  </si>
  <si>
    <t>2025-05-30</t>
  </si>
  <si>
    <t>2025-05-31</t>
  </si>
  <si>
    <t>6月训练日期</t>
  </si>
  <si>
    <t>2025-06-02</t>
  </si>
  <si>
    <t>2025-06-03</t>
  </si>
  <si>
    <t>2025-06-04</t>
  </si>
  <si>
    <t>2025-06-05</t>
  </si>
  <si>
    <t>2025-06-06</t>
  </si>
  <si>
    <t>2025-06-07</t>
  </si>
  <si>
    <t>2025-06-09</t>
  </si>
  <si>
    <t>2025-06-10</t>
  </si>
  <si>
    <t>2025-06-11</t>
  </si>
  <si>
    <t>2025-06-12</t>
  </si>
  <si>
    <t>2025-06-13</t>
  </si>
  <si>
    <t>2025-06-14</t>
  </si>
  <si>
    <t>7月训练日期</t>
  </si>
  <si>
    <t>2025-07-01</t>
  </si>
  <si>
    <t>2025-07-02</t>
  </si>
  <si>
    <t>2025-07-03</t>
  </si>
  <si>
    <t>2025-07-04</t>
  </si>
  <si>
    <t>2025-07-05</t>
  </si>
  <si>
    <t>2025-07-07</t>
  </si>
  <si>
    <t>2025-07-08</t>
  </si>
  <si>
    <t>2025-07-09</t>
  </si>
  <si>
    <t>2025-07-10</t>
  </si>
  <si>
    <t>2025-07-11</t>
  </si>
  <si>
    <t>2025-07-12</t>
  </si>
  <si>
    <t>2025-07-14</t>
  </si>
  <si>
    <t>2025-07-15</t>
  </si>
  <si>
    <t>2025-07-16</t>
  </si>
  <si>
    <t>2025-07-17</t>
  </si>
  <si>
    <t>2025-07-18</t>
  </si>
  <si>
    <t>2025-07-19</t>
  </si>
  <si>
    <t>2025-07-21</t>
  </si>
  <si>
    <t>2025-07-22</t>
  </si>
  <si>
    <t>2025-07-23</t>
  </si>
  <si>
    <t>2025-07-29</t>
  </si>
  <si>
    <t>2025-07-30</t>
  </si>
  <si>
    <t>2025-07-31</t>
  </si>
  <si>
    <t>8月训练日期</t>
  </si>
  <si>
    <t>2025-08-01</t>
  </si>
  <si>
    <t>2025-08-02</t>
  </si>
  <si>
    <t>2025-08-04</t>
  </si>
  <si>
    <t>2025-08-05</t>
  </si>
  <si>
    <t>2025-08-06</t>
  </si>
  <si>
    <t>2025-08-07</t>
  </si>
  <si>
    <t>2025-08-08</t>
  </si>
  <si>
    <t>2025-08-09</t>
  </si>
  <si>
    <t>2025-08-11</t>
  </si>
  <si>
    <t>2025-08-12</t>
  </si>
  <si>
    <t>2025-08-13</t>
  </si>
  <si>
    <t>2025-08-20</t>
  </si>
  <si>
    <t>2025-08-21</t>
  </si>
  <si>
    <t>2025-08-22</t>
  </si>
  <si>
    <t>2025-08-23</t>
  </si>
  <si>
    <t>9月训练日期</t>
  </si>
  <si>
    <t>2025-09-01</t>
  </si>
  <si>
    <t>2025-09-02</t>
  </si>
  <si>
    <t>2025-09-03</t>
  </si>
  <si>
    <t>2025-09-04</t>
  </si>
  <si>
    <t>2025-09-05</t>
  </si>
  <si>
    <t>2025-09-06</t>
  </si>
  <si>
    <t>2025-09-08</t>
  </si>
  <si>
    <t>2025-09-09</t>
  </si>
  <si>
    <t>2025-09-10</t>
  </si>
  <si>
    <t>2025-09-11</t>
  </si>
  <si>
    <t>2025-09-12</t>
  </si>
  <si>
    <t>2025-09-13</t>
  </si>
  <si>
    <t>2025-09-15</t>
  </si>
  <si>
    <t>2025-09-16</t>
  </si>
  <si>
    <t>2025-09-17</t>
  </si>
  <si>
    <t>2025-09-18</t>
  </si>
  <si>
    <t>2025-09-19</t>
  </si>
  <si>
    <t>2025-09-20</t>
  </si>
  <si>
    <t>2025-09-22</t>
  </si>
  <si>
    <t>2025-09-23</t>
  </si>
  <si>
    <t>2025-09-24</t>
  </si>
  <si>
    <t>2025-09-25</t>
  </si>
  <si>
    <t>2025-09-26</t>
  </si>
  <si>
    <t>2025-09-27</t>
  </si>
  <si>
    <t>2025-09-29</t>
  </si>
  <si>
    <t>2025-09-30</t>
  </si>
  <si>
    <t>10月训练日期</t>
  </si>
  <si>
    <t>2025-10-01</t>
  </si>
  <si>
    <t>2025-10-02</t>
  </si>
  <si>
    <t>2025-10-03</t>
  </si>
  <si>
    <t>2025-10-04</t>
  </si>
  <si>
    <t>2025-10-08</t>
  </si>
  <si>
    <t>2025-10-09</t>
  </si>
  <si>
    <t>2025-10-10</t>
  </si>
  <si>
    <t>2025-10-11</t>
  </si>
  <si>
    <t>2025-10-13</t>
  </si>
  <si>
    <t>2025-10-14</t>
  </si>
  <si>
    <t>2025-10-15</t>
  </si>
  <si>
    <t>2025-10-16</t>
  </si>
  <si>
    <t>2025-10-17</t>
  </si>
  <si>
    <t>2025-10-18</t>
  </si>
  <si>
    <t>2025-10-20</t>
  </si>
  <si>
    <t>2025-10-21</t>
  </si>
  <si>
    <t>2025-10-22</t>
  </si>
  <si>
    <t>2025-10-23</t>
  </si>
  <si>
    <t>2025-10-24</t>
  </si>
  <si>
    <t>2025-10-25</t>
  </si>
  <si>
    <t>2025-10-27</t>
  </si>
  <si>
    <t>2025-10-28</t>
  </si>
  <si>
    <t>2025-10-29</t>
  </si>
  <si>
    <t>2025-10-30</t>
  </si>
  <si>
    <t>2025-10-31</t>
  </si>
  <si>
    <t>11月训练日期</t>
  </si>
  <si>
    <t>2025-11-01</t>
  </si>
  <si>
    <t>2025-11-03</t>
  </si>
  <si>
    <t>2025-11-04</t>
  </si>
  <si>
    <t>2025-11-05</t>
  </si>
  <si>
    <t>2025-11-06</t>
  </si>
  <si>
    <t>2025-11-07</t>
  </si>
  <si>
    <t>2025-11-08</t>
  </si>
  <si>
    <t>2025-11-10</t>
  </si>
  <si>
    <t>2025-11-11</t>
  </si>
  <si>
    <t>2025-11-12</t>
  </si>
  <si>
    <t>2025-11-13</t>
  </si>
  <si>
    <t>2025-11-14</t>
  </si>
  <si>
    <t>2025-11-15</t>
  </si>
  <si>
    <t>2025-11-17</t>
  </si>
  <si>
    <t>2025-11-18</t>
  </si>
  <si>
    <t>2025-11-19</t>
  </si>
  <si>
    <t>2025-11-20</t>
  </si>
  <si>
    <t>2025-11-21</t>
  </si>
  <si>
    <t>2025-11-22</t>
  </si>
  <si>
    <t>2025-11-24</t>
  </si>
  <si>
    <t>2025-11-25</t>
  </si>
  <si>
    <t>2025-11-26</t>
  </si>
  <si>
    <t>2025-11-27</t>
  </si>
  <si>
    <t>2025-11-28</t>
  </si>
  <si>
    <t>2025-11-29</t>
  </si>
  <si>
    <t>12月训练日期</t>
  </si>
  <si>
    <t>2025-12-01</t>
  </si>
  <si>
    <t>2025-12-02</t>
  </si>
  <si>
    <t>2025-12-03</t>
  </si>
  <si>
    <t>2025-12-04</t>
  </si>
  <si>
    <t>2025-12-05</t>
  </si>
  <si>
    <t>2025-12-06</t>
  </si>
  <si>
    <t>2025-12-08</t>
  </si>
  <si>
    <t>2025-12-09</t>
  </si>
  <si>
    <t>2025-12-10</t>
  </si>
  <si>
    <t>2025-12-11</t>
  </si>
  <si>
    <t>2025-12-12</t>
  </si>
  <si>
    <t>2025-12-13</t>
  </si>
  <si>
    <t>2025-12-15</t>
  </si>
  <si>
    <t>2025-12-16</t>
  </si>
  <si>
    <t>2025-12-17</t>
  </si>
  <si>
    <t>2025-12-18</t>
  </si>
  <si>
    <t>2025-12-19</t>
  </si>
  <si>
    <t>2025-12-20</t>
  </si>
  <si>
    <t>2025-12-22</t>
  </si>
  <si>
    <t>2025-12-23</t>
  </si>
  <si>
    <t>2025-12-24</t>
  </si>
  <si>
    <t>2025-12-25</t>
  </si>
  <si>
    <t>2025-12-26</t>
  </si>
  <si>
    <t>2025-12-27</t>
  </si>
  <si>
    <t>2025-12-29</t>
  </si>
  <si>
    <t>2025-12-30</t>
  </si>
  <si>
    <t>2025-12-31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</si>
</sst>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workbookViewId="0">
      <selection activeCell="D14" sqref="D14"/>
    </sheetView>
  </sheetViews>
  <sheetFormatPr defaultColWidth="9" defaultRowHeight="13.5" outlineLevelCol="5"/>
  <cols>
    <col min="1" max="1" width="5.75221238938053" customWidth="1"/>
    <col min="2" max="3" width="16.3716814159292" customWidth="1"/>
    <col min="4" max="5" width="21.3716814159292" customWidth="1"/>
    <col min="6" max="6" width="7.75221238938053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>
        <f>SUMIFS('1月'!C:C,'1月'!B:B,"否")</f>
        <v>0</v>
      </c>
      <c r="C2">
        <f>SUMIFS('1月'!C:C,'1月'!B:B,"是")</f>
        <v>56</v>
      </c>
      <c r="D2">
        <f t="shared" ref="D2:D13" si="0">B2*100</f>
        <v>0</v>
      </c>
      <c r="E2">
        <f t="shared" ref="E2:E13" si="1">C2*200</f>
        <v>11200</v>
      </c>
      <c r="F2">
        <f t="shared" ref="F2:F13" si="2">D2+E2</f>
        <v>11200</v>
      </c>
    </row>
    <row r="3" spans="1:6">
      <c r="A3" t="s">
        <v>7</v>
      </c>
      <c r="B3">
        <f>SUMIFS('2月'!C:C,'2月'!B:B,"否")</f>
        <v>20</v>
      </c>
      <c r="C3">
        <f>SUMIFS('2月'!C:C,'2月'!B:B,"是")</f>
        <v>16</v>
      </c>
      <c r="D3">
        <f t="shared" si="0"/>
        <v>2000</v>
      </c>
      <c r="E3">
        <f t="shared" si="1"/>
        <v>3200</v>
      </c>
      <c r="F3">
        <f t="shared" si="2"/>
        <v>5200</v>
      </c>
    </row>
    <row r="4" spans="1:6">
      <c r="A4" t="s">
        <v>8</v>
      </c>
      <c r="B4">
        <f>SUMIFS('3月'!C:C,'3月'!B:B,"否")</f>
        <v>33</v>
      </c>
      <c r="C4">
        <f>SUMIFS('3月'!C:C,'3月'!B:B,"是")</f>
        <v>40</v>
      </c>
      <c r="D4">
        <f t="shared" si="0"/>
        <v>3300</v>
      </c>
      <c r="E4">
        <f t="shared" si="1"/>
        <v>8000</v>
      </c>
      <c r="F4">
        <f t="shared" si="2"/>
        <v>11300</v>
      </c>
    </row>
    <row r="5" spans="1:6">
      <c r="A5" t="s">
        <v>9</v>
      </c>
      <c r="B5">
        <f>SUMIFS('4月'!C:C,'4月'!B:B,"否")</f>
        <v>34</v>
      </c>
      <c r="C5">
        <f>SUMIFS('4月'!C:C,'4月'!B:B,"是")</f>
        <v>32</v>
      </c>
      <c r="D5">
        <f t="shared" si="0"/>
        <v>3400</v>
      </c>
      <c r="E5">
        <f t="shared" si="1"/>
        <v>6400</v>
      </c>
      <c r="F5">
        <f t="shared" si="2"/>
        <v>9800</v>
      </c>
    </row>
    <row r="6" spans="1:6">
      <c r="A6" t="s">
        <v>10</v>
      </c>
      <c r="B6">
        <f>SUMIFS('5月'!C:C,'5月'!B:B,"否")</f>
        <v>20.5</v>
      </c>
      <c r="C6">
        <f>SUMIFS('5月'!C:C,'5月'!B:B,"是")</f>
        <v>32</v>
      </c>
      <c r="D6">
        <f t="shared" si="0"/>
        <v>2050</v>
      </c>
      <c r="E6">
        <f t="shared" si="1"/>
        <v>6400</v>
      </c>
      <c r="F6">
        <f t="shared" si="2"/>
        <v>8450</v>
      </c>
    </row>
    <row r="7" spans="1:6">
      <c r="A7" t="s">
        <v>11</v>
      </c>
      <c r="B7">
        <f>SUMIFS('6月'!C:C,'6月'!B:B,"否")</f>
        <v>11</v>
      </c>
      <c r="C7">
        <f>SUMIFS('6月'!C:C,'6月'!B:B,"是")</f>
        <v>16</v>
      </c>
      <c r="D7">
        <f t="shared" si="0"/>
        <v>1100</v>
      </c>
      <c r="E7">
        <f t="shared" si="1"/>
        <v>3200</v>
      </c>
      <c r="F7">
        <f t="shared" si="2"/>
        <v>4300</v>
      </c>
    </row>
    <row r="8" spans="1:6">
      <c r="A8" t="s">
        <v>12</v>
      </c>
      <c r="B8">
        <f>SUMIFS('7月'!C:C,'7月'!B:B,"否")</f>
        <v>0</v>
      </c>
      <c r="C8">
        <f>SUMIFS('7月'!C:C,'7月'!B:B,"是")</f>
        <v>184</v>
      </c>
      <c r="D8">
        <f t="shared" si="0"/>
        <v>0</v>
      </c>
      <c r="E8">
        <f t="shared" si="1"/>
        <v>36800</v>
      </c>
      <c r="F8">
        <f t="shared" si="2"/>
        <v>36800</v>
      </c>
    </row>
    <row r="9" spans="1:6">
      <c r="A9" t="s">
        <v>13</v>
      </c>
      <c r="B9">
        <f>SUMIFS('8月'!C:C,'8月'!B:B,"否")</f>
        <v>0</v>
      </c>
      <c r="C9">
        <f>SUMIFS('8月'!C:C,'8月'!B:B,"是")</f>
        <v>120</v>
      </c>
      <c r="D9">
        <f t="shared" si="0"/>
        <v>0</v>
      </c>
      <c r="E9">
        <f t="shared" si="1"/>
        <v>24000</v>
      </c>
      <c r="F9">
        <f t="shared" si="2"/>
        <v>24000</v>
      </c>
    </row>
    <row r="10" spans="1:6">
      <c r="A10" t="s">
        <v>14</v>
      </c>
      <c r="B10">
        <f>SUMIFS('9月'!C:C,'9月'!B:B,"否")</f>
        <v>23</v>
      </c>
      <c r="C10">
        <f>SUMIFS('9月'!C:C,'9月'!B:B,"是")</f>
        <v>32</v>
      </c>
      <c r="D10">
        <f t="shared" si="0"/>
        <v>2300</v>
      </c>
      <c r="E10">
        <f t="shared" si="1"/>
        <v>6400</v>
      </c>
      <c r="F10">
        <f t="shared" si="2"/>
        <v>8700</v>
      </c>
    </row>
    <row r="11" spans="1:6">
      <c r="A11" t="s">
        <v>15</v>
      </c>
      <c r="B11">
        <f>SUMIFS('10月'!C:C,'10月'!B:B,"否")</f>
        <v>21</v>
      </c>
      <c r="C11">
        <f>SUMIFS('10月'!C:C,'10月'!B:B,"是")</f>
        <v>56</v>
      </c>
      <c r="D11">
        <f t="shared" si="0"/>
        <v>2100</v>
      </c>
      <c r="E11">
        <f t="shared" si="1"/>
        <v>11200</v>
      </c>
      <c r="F11">
        <f t="shared" si="2"/>
        <v>13300</v>
      </c>
    </row>
    <row r="12" spans="1:6">
      <c r="A12" t="s">
        <v>16</v>
      </c>
      <c r="B12">
        <f>SUMIFS('11月'!C:C,'11月'!B:B,"否")</f>
        <v>22</v>
      </c>
      <c r="C12">
        <f>SUMIFS('11月'!C:C,'11月'!B:B,"是")</f>
        <v>40</v>
      </c>
      <c r="D12">
        <f t="shared" si="0"/>
        <v>2200</v>
      </c>
      <c r="E12">
        <f t="shared" si="1"/>
        <v>8000</v>
      </c>
      <c r="F12">
        <f t="shared" si="2"/>
        <v>10200</v>
      </c>
    </row>
    <row r="13" spans="1:6">
      <c r="A13" t="s">
        <v>17</v>
      </c>
      <c r="B13">
        <f>SUMIFS('12月'!C:C,'12月'!B:B,"否")</f>
        <v>23.5</v>
      </c>
      <c r="C13">
        <f>SUMIFS('12月'!C:C,'12月'!B:B,"是")</f>
        <v>32</v>
      </c>
      <c r="D13">
        <f t="shared" si="0"/>
        <v>2350</v>
      </c>
      <c r="E13">
        <f t="shared" si="1"/>
        <v>6400</v>
      </c>
      <c r="F13">
        <f t="shared" si="2"/>
        <v>8750</v>
      </c>
    </row>
    <row r="14" spans="1:6">
      <c r="A14" t="s">
        <v>18</v>
      </c>
      <c r="B14">
        <f>SUM(B2:B13)</f>
        <v>208</v>
      </c>
      <c r="C14">
        <f>SUM(C2:C13)</f>
        <v>656</v>
      </c>
      <c r="D14">
        <f>SUM(D2:D13)</f>
        <v>20800</v>
      </c>
      <c r="E14">
        <f>SUM(E2:E13)</f>
        <v>131200</v>
      </c>
      <c r="F14">
        <f>SUM(F2:F13)</f>
        <v>152000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workbookViewId="0">
      <selection activeCell="A2" sqref="$A2:$XFD8"/>
    </sheetView>
  </sheetViews>
  <sheetFormatPr defaultColWidth="9" defaultRowHeight="13.5" outlineLevelRow="7" outlineLevelCol="3"/>
  <cols>
    <col min="1" max="1" width="12" customWidth="1"/>
    <col min="2" max="2" width="9" customWidth="1"/>
    <col min="3" max="3" width="10" customWidth="1"/>
    <col min="4" max="4" width="59" customWidth="1"/>
  </cols>
  <sheetData>
    <row r="1" spans="1:4">
      <c r="A1" s="1" t="s">
        <v>19</v>
      </c>
      <c r="B1" s="1" t="s">
        <v>20</v>
      </c>
      <c r="C1" s="1" t="s">
        <v>21</v>
      </c>
      <c r="D1" s="1" t="s">
        <v>22</v>
      </c>
    </row>
    <row r="2" spans="1:4">
      <c r="A2" t="s">
        <v>23</v>
      </c>
      <c r="B2" t="s">
        <v>24</v>
      </c>
      <c r="C2">
        <v>8</v>
      </c>
      <c r="D2">
        <f t="shared" ref="D2:D8" si="0">IF(B2="","",IF(B2="是",C2*200,IF(B2="否",C2*100,"")))</f>
        <v>1600</v>
      </c>
    </row>
    <row r="3" spans="1:4">
      <c r="A3" t="s">
        <v>25</v>
      </c>
      <c r="B3" t="s">
        <v>24</v>
      </c>
      <c r="C3">
        <v>8</v>
      </c>
      <c r="D3">
        <f t="shared" si="0"/>
        <v>1600</v>
      </c>
    </row>
    <row r="4" spans="1:4">
      <c r="A4" t="s">
        <v>26</v>
      </c>
      <c r="B4" t="s">
        <v>24</v>
      </c>
      <c r="C4">
        <v>8</v>
      </c>
      <c r="D4">
        <f t="shared" si="0"/>
        <v>1600</v>
      </c>
    </row>
    <row r="5" spans="1:4">
      <c r="A5" t="s">
        <v>27</v>
      </c>
      <c r="B5" t="s">
        <v>24</v>
      </c>
      <c r="C5">
        <v>8</v>
      </c>
      <c r="D5">
        <f t="shared" si="0"/>
        <v>1600</v>
      </c>
    </row>
    <row r="6" spans="1:4">
      <c r="A6" t="s">
        <v>28</v>
      </c>
      <c r="B6" t="s">
        <v>24</v>
      </c>
      <c r="C6">
        <v>8</v>
      </c>
      <c r="D6">
        <f t="shared" si="0"/>
        <v>1600</v>
      </c>
    </row>
    <row r="7" spans="1:4">
      <c r="A7" t="s">
        <v>29</v>
      </c>
      <c r="B7" t="s">
        <v>24</v>
      </c>
      <c r="C7">
        <v>8</v>
      </c>
      <c r="D7">
        <f t="shared" si="0"/>
        <v>1600</v>
      </c>
    </row>
    <row r="8" spans="1:4">
      <c r="A8" t="s">
        <v>30</v>
      </c>
      <c r="B8" t="s">
        <v>24</v>
      </c>
      <c r="C8">
        <v>8</v>
      </c>
      <c r="D8">
        <f t="shared" si="0"/>
        <v>1600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tabSelected="1" workbookViewId="0">
      <selection activeCell="D19" sqref="D19"/>
    </sheetView>
  </sheetViews>
  <sheetFormatPr defaultColWidth="9" defaultRowHeight="13.5" outlineLevelCol="3"/>
  <cols>
    <col min="1" max="1" width="12" customWidth="1"/>
    <col min="2" max="2" width="9" customWidth="1"/>
    <col min="3" max="3" width="10" customWidth="1"/>
    <col min="4" max="4" width="59" customWidth="1"/>
  </cols>
  <sheetData>
    <row r="1" spans="1:4">
      <c r="A1" s="1" t="s">
        <v>31</v>
      </c>
      <c r="B1" s="1" t="s">
        <v>20</v>
      </c>
      <c r="C1" s="1" t="s">
        <v>21</v>
      </c>
      <c r="D1" s="1" t="s">
        <v>22</v>
      </c>
    </row>
    <row r="2" spans="1:4">
      <c r="A2" t="s">
        <v>32</v>
      </c>
      <c r="B2" t="s">
        <v>33</v>
      </c>
      <c r="C2">
        <v>4</v>
      </c>
      <c r="D2">
        <f t="shared" ref="D2:D14" si="0">IF(B2="","",IF(B2="是",C2*200,IF(B2="否",C2*100,"")))</f>
        <v>400</v>
      </c>
    </row>
    <row r="3" spans="1:4">
      <c r="A3" t="s">
        <v>34</v>
      </c>
      <c r="B3" t="s">
        <v>24</v>
      </c>
      <c r="C3">
        <v>8</v>
      </c>
      <c r="D3">
        <f t="shared" si="0"/>
        <v>1600</v>
      </c>
    </row>
    <row r="4" spans="1:4">
      <c r="A4" t="s">
        <v>35</v>
      </c>
      <c r="B4" t="s">
        <v>33</v>
      </c>
      <c r="C4">
        <v>1</v>
      </c>
      <c r="D4">
        <f t="shared" si="0"/>
        <v>100</v>
      </c>
    </row>
    <row r="5" spans="1:4">
      <c r="A5" t="s">
        <v>36</v>
      </c>
      <c r="B5" t="s">
        <v>33</v>
      </c>
      <c r="C5">
        <v>1</v>
      </c>
      <c r="D5">
        <f t="shared" si="0"/>
        <v>100</v>
      </c>
    </row>
    <row r="6" spans="1:4">
      <c r="A6" t="s">
        <v>37</v>
      </c>
      <c r="B6" t="s">
        <v>33</v>
      </c>
      <c r="C6">
        <v>1</v>
      </c>
      <c r="D6">
        <f t="shared" si="0"/>
        <v>100</v>
      </c>
    </row>
    <row r="7" spans="1:4">
      <c r="A7" t="s">
        <v>38</v>
      </c>
      <c r="B7" t="s">
        <v>33</v>
      </c>
      <c r="C7">
        <v>1</v>
      </c>
      <c r="D7">
        <f t="shared" si="0"/>
        <v>100</v>
      </c>
    </row>
    <row r="8" spans="1:4">
      <c r="A8" t="s">
        <v>39</v>
      </c>
      <c r="B8" t="s">
        <v>33</v>
      </c>
      <c r="C8">
        <v>4</v>
      </c>
      <c r="D8">
        <f t="shared" si="0"/>
        <v>400</v>
      </c>
    </row>
    <row r="9" spans="1:4">
      <c r="A9" t="s">
        <v>40</v>
      </c>
      <c r="B9" t="s">
        <v>24</v>
      </c>
      <c r="C9">
        <v>8</v>
      </c>
      <c r="D9">
        <f t="shared" si="0"/>
        <v>1600</v>
      </c>
    </row>
    <row r="10" spans="1:4">
      <c r="A10" t="s">
        <v>41</v>
      </c>
      <c r="B10" t="s">
        <v>33</v>
      </c>
      <c r="C10">
        <v>1</v>
      </c>
      <c r="D10">
        <f t="shared" si="0"/>
        <v>100</v>
      </c>
    </row>
    <row r="11" spans="1:4">
      <c r="A11" t="s">
        <v>42</v>
      </c>
      <c r="B11" t="s">
        <v>33</v>
      </c>
      <c r="C11">
        <v>1</v>
      </c>
      <c r="D11">
        <f t="shared" si="0"/>
        <v>100</v>
      </c>
    </row>
    <row r="12" spans="1:4">
      <c r="A12" t="s">
        <v>43</v>
      </c>
      <c r="B12" t="s">
        <v>33</v>
      </c>
      <c r="C12">
        <v>1</v>
      </c>
      <c r="D12">
        <f t="shared" si="0"/>
        <v>100</v>
      </c>
    </row>
    <row r="13" spans="1:4">
      <c r="A13" t="s">
        <v>44</v>
      </c>
      <c r="B13" t="s">
        <v>33</v>
      </c>
      <c r="C13">
        <v>1</v>
      </c>
      <c r="D13">
        <f t="shared" si="0"/>
        <v>100</v>
      </c>
    </row>
    <row r="14" spans="1:4">
      <c r="A14" t="s">
        <v>45</v>
      </c>
      <c r="B14" t="s">
        <v>33</v>
      </c>
      <c r="C14">
        <v>4</v>
      </c>
      <c r="D14">
        <f t="shared" si="0"/>
        <v>400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workbookViewId="0">
      <selection activeCell="A1" sqref="A1"/>
    </sheetView>
  </sheetViews>
  <sheetFormatPr defaultColWidth="9" defaultRowHeight="13.5" outlineLevelCol="3"/>
  <cols>
    <col min="1" max="1" width="12" customWidth="1"/>
    <col min="2" max="2" width="9" customWidth="1"/>
    <col min="3" max="3" width="10" customWidth="1"/>
    <col min="4" max="4" width="59" customWidth="1"/>
  </cols>
  <sheetData>
    <row r="1" spans="1:4">
      <c r="A1" s="1" t="s">
        <v>46</v>
      </c>
      <c r="B1" s="1" t="s">
        <v>20</v>
      </c>
      <c r="C1" s="1" t="s">
        <v>21</v>
      </c>
      <c r="D1" s="1" t="s">
        <v>22</v>
      </c>
    </row>
    <row r="2" spans="1:4">
      <c r="A2" t="s">
        <v>47</v>
      </c>
      <c r="B2" t="s">
        <v>24</v>
      </c>
      <c r="C2">
        <v>8</v>
      </c>
      <c r="D2">
        <f t="shared" ref="D2:D27" si="0">IF(B2="","",IF(B2="是",C2*200,IF(B2="否",C2*100,"")))</f>
        <v>1600</v>
      </c>
    </row>
    <row r="3" spans="1:4">
      <c r="A3" t="s">
        <v>48</v>
      </c>
      <c r="B3" t="s">
        <v>33</v>
      </c>
      <c r="C3">
        <v>1</v>
      </c>
      <c r="D3">
        <f t="shared" si="0"/>
        <v>100</v>
      </c>
    </row>
    <row r="4" spans="1:4">
      <c r="A4" t="s">
        <v>49</v>
      </c>
      <c r="B4" t="s">
        <v>33</v>
      </c>
      <c r="C4">
        <v>1</v>
      </c>
      <c r="D4">
        <f t="shared" si="0"/>
        <v>100</v>
      </c>
    </row>
    <row r="5" spans="1:4">
      <c r="A5" t="s">
        <v>50</v>
      </c>
      <c r="B5" t="s">
        <v>33</v>
      </c>
      <c r="C5">
        <v>1</v>
      </c>
      <c r="D5">
        <f t="shared" si="0"/>
        <v>100</v>
      </c>
    </row>
    <row r="6" spans="1:4">
      <c r="A6" t="s">
        <v>51</v>
      </c>
      <c r="B6" t="s">
        <v>33</v>
      </c>
      <c r="C6">
        <v>1</v>
      </c>
      <c r="D6">
        <f t="shared" si="0"/>
        <v>100</v>
      </c>
    </row>
    <row r="7" spans="1:4">
      <c r="A7" t="s">
        <v>52</v>
      </c>
      <c r="B7" t="s">
        <v>33</v>
      </c>
      <c r="C7">
        <v>4</v>
      </c>
      <c r="D7">
        <f t="shared" si="0"/>
        <v>400</v>
      </c>
    </row>
    <row r="8" spans="1:4">
      <c r="A8" t="s">
        <v>53</v>
      </c>
      <c r="B8" t="s">
        <v>24</v>
      </c>
      <c r="C8">
        <v>8</v>
      </c>
      <c r="D8">
        <f t="shared" si="0"/>
        <v>1600</v>
      </c>
    </row>
    <row r="9" spans="1:4">
      <c r="A9" t="s">
        <v>54</v>
      </c>
      <c r="B9" t="s">
        <v>33</v>
      </c>
      <c r="C9">
        <v>1</v>
      </c>
      <c r="D9">
        <f t="shared" si="0"/>
        <v>100</v>
      </c>
    </row>
    <row r="10" spans="1:4">
      <c r="A10" t="s">
        <v>55</v>
      </c>
      <c r="B10" t="s">
        <v>33</v>
      </c>
      <c r="C10">
        <v>1</v>
      </c>
      <c r="D10">
        <f t="shared" si="0"/>
        <v>100</v>
      </c>
    </row>
    <row r="11" spans="1:4">
      <c r="A11" t="s">
        <v>56</v>
      </c>
      <c r="B11" t="s">
        <v>33</v>
      </c>
      <c r="C11">
        <v>1</v>
      </c>
      <c r="D11">
        <f t="shared" si="0"/>
        <v>100</v>
      </c>
    </row>
    <row r="12" spans="1:4">
      <c r="A12" t="s">
        <v>57</v>
      </c>
      <c r="B12" t="s">
        <v>33</v>
      </c>
      <c r="C12">
        <v>1</v>
      </c>
      <c r="D12">
        <f t="shared" si="0"/>
        <v>100</v>
      </c>
    </row>
    <row r="13" spans="1:4">
      <c r="A13" t="s">
        <v>58</v>
      </c>
      <c r="B13" t="s">
        <v>33</v>
      </c>
      <c r="C13">
        <v>4</v>
      </c>
      <c r="D13">
        <f t="shared" si="0"/>
        <v>400</v>
      </c>
    </row>
    <row r="14" spans="1:4">
      <c r="A14" t="s">
        <v>59</v>
      </c>
      <c r="B14" t="s">
        <v>24</v>
      </c>
      <c r="C14">
        <v>8</v>
      </c>
      <c r="D14">
        <f t="shared" si="0"/>
        <v>1600</v>
      </c>
    </row>
    <row r="15" spans="1:4">
      <c r="A15" t="s">
        <v>60</v>
      </c>
      <c r="B15" t="s">
        <v>33</v>
      </c>
      <c r="C15">
        <v>1</v>
      </c>
      <c r="D15">
        <f t="shared" si="0"/>
        <v>100</v>
      </c>
    </row>
    <row r="16" spans="1:4">
      <c r="A16" t="s">
        <v>61</v>
      </c>
      <c r="B16" t="s">
        <v>33</v>
      </c>
      <c r="C16">
        <v>1</v>
      </c>
      <c r="D16">
        <f t="shared" si="0"/>
        <v>100</v>
      </c>
    </row>
    <row r="17" spans="1:4">
      <c r="A17" t="s">
        <v>62</v>
      </c>
      <c r="B17" t="s">
        <v>33</v>
      </c>
      <c r="C17">
        <v>1</v>
      </c>
      <c r="D17">
        <f t="shared" si="0"/>
        <v>100</v>
      </c>
    </row>
    <row r="18" spans="1:4">
      <c r="A18" t="s">
        <v>63</v>
      </c>
      <c r="B18" t="s">
        <v>33</v>
      </c>
      <c r="C18">
        <v>1</v>
      </c>
      <c r="D18">
        <f t="shared" si="0"/>
        <v>100</v>
      </c>
    </row>
    <row r="19" spans="1:4">
      <c r="A19" t="s">
        <v>64</v>
      </c>
      <c r="B19" t="s">
        <v>33</v>
      </c>
      <c r="C19">
        <v>4</v>
      </c>
      <c r="D19">
        <f t="shared" si="0"/>
        <v>400</v>
      </c>
    </row>
    <row r="20" spans="1:4">
      <c r="A20" t="s">
        <v>65</v>
      </c>
      <c r="B20" t="s">
        <v>24</v>
      </c>
      <c r="C20">
        <v>8</v>
      </c>
      <c r="D20">
        <f t="shared" si="0"/>
        <v>1600</v>
      </c>
    </row>
    <row r="21" spans="1:4">
      <c r="A21" t="s">
        <v>66</v>
      </c>
      <c r="B21" t="s">
        <v>33</v>
      </c>
      <c r="C21">
        <v>1</v>
      </c>
      <c r="D21">
        <f t="shared" si="0"/>
        <v>100</v>
      </c>
    </row>
    <row r="22" spans="1:4">
      <c r="A22" t="s">
        <v>67</v>
      </c>
      <c r="B22" t="s">
        <v>33</v>
      </c>
      <c r="C22">
        <v>1</v>
      </c>
      <c r="D22">
        <f t="shared" si="0"/>
        <v>100</v>
      </c>
    </row>
    <row r="23" spans="1:4">
      <c r="A23" t="s">
        <v>68</v>
      </c>
      <c r="B23" t="s">
        <v>33</v>
      </c>
      <c r="C23">
        <v>1</v>
      </c>
      <c r="D23">
        <f t="shared" si="0"/>
        <v>100</v>
      </c>
    </row>
    <row r="24" spans="1:4">
      <c r="A24" t="s">
        <v>69</v>
      </c>
      <c r="B24" t="s">
        <v>33</v>
      </c>
      <c r="C24">
        <v>1</v>
      </c>
      <c r="D24">
        <f t="shared" si="0"/>
        <v>100</v>
      </c>
    </row>
    <row r="25" spans="1:4">
      <c r="A25" t="s">
        <v>70</v>
      </c>
      <c r="B25" t="s">
        <v>33</v>
      </c>
      <c r="C25">
        <v>4</v>
      </c>
      <c r="D25">
        <f t="shared" si="0"/>
        <v>400</v>
      </c>
    </row>
    <row r="26" spans="1:4">
      <c r="A26" t="s">
        <v>71</v>
      </c>
      <c r="B26" t="s">
        <v>24</v>
      </c>
      <c r="C26">
        <v>8</v>
      </c>
      <c r="D26">
        <f t="shared" si="0"/>
        <v>1600</v>
      </c>
    </row>
    <row r="27" spans="1:4">
      <c r="A27" t="s">
        <v>72</v>
      </c>
      <c r="B27" t="s">
        <v>33</v>
      </c>
      <c r="C27">
        <v>1</v>
      </c>
      <c r="D27">
        <f t="shared" si="0"/>
        <v>100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workbookViewId="0">
      <selection activeCell="A1" sqref="A1"/>
    </sheetView>
  </sheetViews>
  <sheetFormatPr defaultColWidth="9" defaultRowHeight="13.5" outlineLevelCol="3"/>
  <cols>
    <col min="1" max="1" width="12" customWidth="1"/>
    <col min="2" max="2" width="9" customWidth="1"/>
    <col min="3" max="3" width="10" customWidth="1"/>
    <col min="4" max="4" width="59" customWidth="1"/>
  </cols>
  <sheetData>
    <row r="1" spans="1:4">
      <c r="A1" s="1" t="s">
        <v>73</v>
      </c>
      <c r="B1" s="1" t="s">
        <v>20</v>
      </c>
      <c r="C1" s="1" t="s">
        <v>21</v>
      </c>
      <c r="D1" s="1" t="s">
        <v>22</v>
      </c>
    </row>
    <row r="2" spans="1:4">
      <c r="A2" t="s">
        <v>74</v>
      </c>
      <c r="B2" t="s">
        <v>33</v>
      </c>
      <c r="C2">
        <v>1</v>
      </c>
      <c r="D2">
        <f t="shared" ref="D2:D27" si="0">IF(B2="","",IF(B2="是",C2*200,IF(B2="否",C2*100,"")))</f>
        <v>100</v>
      </c>
    </row>
    <row r="3" spans="1:4">
      <c r="A3" t="s">
        <v>75</v>
      </c>
      <c r="B3" t="s">
        <v>33</v>
      </c>
      <c r="C3">
        <v>1</v>
      </c>
      <c r="D3">
        <f t="shared" si="0"/>
        <v>100</v>
      </c>
    </row>
    <row r="4" spans="1:4">
      <c r="A4" t="s">
        <v>76</v>
      </c>
      <c r="B4" t="s">
        <v>33</v>
      </c>
      <c r="C4">
        <v>1</v>
      </c>
      <c r="D4">
        <f t="shared" si="0"/>
        <v>100</v>
      </c>
    </row>
    <row r="5" spans="1:4">
      <c r="A5" t="s">
        <v>77</v>
      </c>
      <c r="B5" t="s">
        <v>33</v>
      </c>
      <c r="C5">
        <v>4</v>
      </c>
      <c r="D5">
        <f t="shared" si="0"/>
        <v>400</v>
      </c>
    </row>
    <row r="6" spans="1:4">
      <c r="A6" t="s">
        <v>78</v>
      </c>
      <c r="B6" t="s">
        <v>24</v>
      </c>
      <c r="C6">
        <v>8</v>
      </c>
      <c r="D6">
        <f t="shared" si="0"/>
        <v>1600</v>
      </c>
    </row>
    <row r="7" spans="1:4">
      <c r="A7" t="s">
        <v>79</v>
      </c>
      <c r="B7" t="s">
        <v>33</v>
      </c>
      <c r="C7">
        <v>1</v>
      </c>
      <c r="D7">
        <f t="shared" si="0"/>
        <v>100</v>
      </c>
    </row>
    <row r="8" spans="1:4">
      <c r="A8" t="s">
        <v>80</v>
      </c>
      <c r="B8" t="s">
        <v>33</v>
      </c>
      <c r="C8">
        <v>1</v>
      </c>
      <c r="D8">
        <f t="shared" si="0"/>
        <v>100</v>
      </c>
    </row>
    <row r="9" spans="1:4">
      <c r="A9" t="s">
        <v>81</v>
      </c>
      <c r="B9" t="s">
        <v>33</v>
      </c>
      <c r="C9">
        <v>1</v>
      </c>
      <c r="D9">
        <f t="shared" si="0"/>
        <v>100</v>
      </c>
    </row>
    <row r="10" spans="1:4">
      <c r="A10" t="s">
        <v>82</v>
      </c>
      <c r="B10" t="s">
        <v>33</v>
      </c>
      <c r="C10">
        <v>1</v>
      </c>
      <c r="D10">
        <f t="shared" si="0"/>
        <v>100</v>
      </c>
    </row>
    <row r="11" spans="1:4">
      <c r="A11" t="s">
        <v>83</v>
      </c>
      <c r="B11" t="s">
        <v>33</v>
      </c>
      <c r="C11">
        <v>4</v>
      </c>
      <c r="D11">
        <f t="shared" si="0"/>
        <v>400</v>
      </c>
    </row>
    <row r="12" spans="1:4">
      <c r="A12" t="s">
        <v>84</v>
      </c>
      <c r="B12" t="s">
        <v>24</v>
      </c>
      <c r="C12">
        <v>8</v>
      </c>
      <c r="D12">
        <f t="shared" si="0"/>
        <v>1600</v>
      </c>
    </row>
    <row r="13" spans="1:4">
      <c r="A13" t="s">
        <v>85</v>
      </c>
      <c r="B13" t="s">
        <v>33</v>
      </c>
      <c r="C13">
        <v>1</v>
      </c>
      <c r="D13">
        <f t="shared" si="0"/>
        <v>100</v>
      </c>
    </row>
    <row r="14" spans="1:4">
      <c r="A14" t="s">
        <v>86</v>
      </c>
      <c r="B14" t="s">
        <v>33</v>
      </c>
      <c r="C14">
        <v>1</v>
      </c>
      <c r="D14">
        <f t="shared" si="0"/>
        <v>100</v>
      </c>
    </row>
    <row r="15" spans="1:4">
      <c r="A15" t="s">
        <v>87</v>
      </c>
      <c r="B15" t="s">
        <v>33</v>
      </c>
      <c r="C15">
        <v>1</v>
      </c>
      <c r="D15">
        <f t="shared" si="0"/>
        <v>100</v>
      </c>
    </row>
    <row r="16" spans="1:4">
      <c r="A16" t="s">
        <v>88</v>
      </c>
      <c r="B16" t="s">
        <v>33</v>
      </c>
      <c r="C16">
        <v>1</v>
      </c>
      <c r="D16">
        <f t="shared" si="0"/>
        <v>100</v>
      </c>
    </row>
    <row r="17" spans="1:4">
      <c r="A17" t="s">
        <v>89</v>
      </c>
      <c r="B17" t="s">
        <v>33</v>
      </c>
      <c r="C17">
        <v>4</v>
      </c>
      <c r="D17">
        <f t="shared" si="0"/>
        <v>400</v>
      </c>
    </row>
    <row r="18" spans="1:4">
      <c r="A18" t="s">
        <v>90</v>
      </c>
      <c r="B18" t="s">
        <v>24</v>
      </c>
      <c r="C18">
        <v>8</v>
      </c>
      <c r="D18">
        <f t="shared" si="0"/>
        <v>1600</v>
      </c>
    </row>
    <row r="19" spans="1:4">
      <c r="A19" t="s">
        <v>91</v>
      </c>
      <c r="B19" t="s">
        <v>33</v>
      </c>
      <c r="C19">
        <v>1</v>
      </c>
      <c r="D19">
        <f t="shared" si="0"/>
        <v>100</v>
      </c>
    </row>
    <row r="20" spans="1:4">
      <c r="A20" t="s">
        <v>92</v>
      </c>
      <c r="B20" t="s">
        <v>33</v>
      </c>
      <c r="C20">
        <v>1</v>
      </c>
      <c r="D20">
        <f t="shared" si="0"/>
        <v>100</v>
      </c>
    </row>
    <row r="21" spans="1:4">
      <c r="A21" t="s">
        <v>93</v>
      </c>
      <c r="B21" t="s">
        <v>33</v>
      </c>
      <c r="C21">
        <v>1</v>
      </c>
      <c r="D21">
        <f t="shared" si="0"/>
        <v>100</v>
      </c>
    </row>
    <row r="22" spans="1:4">
      <c r="A22" t="s">
        <v>94</v>
      </c>
      <c r="B22" t="s">
        <v>33</v>
      </c>
      <c r="C22">
        <v>1</v>
      </c>
      <c r="D22">
        <f t="shared" si="0"/>
        <v>100</v>
      </c>
    </row>
    <row r="23" spans="1:4">
      <c r="A23" t="s">
        <v>95</v>
      </c>
      <c r="B23" t="s">
        <v>33</v>
      </c>
      <c r="C23">
        <v>4</v>
      </c>
      <c r="D23">
        <f t="shared" si="0"/>
        <v>400</v>
      </c>
    </row>
    <row r="24" spans="1:4">
      <c r="A24" t="s">
        <v>96</v>
      </c>
      <c r="B24" t="s">
        <v>24</v>
      </c>
      <c r="C24">
        <v>8</v>
      </c>
      <c r="D24">
        <f t="shared" si="0"/>
        <v>1600</v>
      </c>
    </row>
    <row r="25" spans="1:4">
      <c r="A25" t="s">
        <v>97</v>
      </c>
      <c r="B25" t="s">
        <v>33</v>
      </c>
      <c r="C25">
        <v>1</v>
      </c>
      <c r="D25">
        <f t="shared" si="0"/>
        <v>100</v>
      </c>
    </row>
    <row r="26" spans="1:4">
      <c r="A26" t="s">
        <v>98</v>
      </c>
      <c r="B26" t="s">
        <v>33</v>
      </c>
      <c r="C26">
        <v>1</v>
      </c>
      <c r="D26">
        <f t="shared" si="0"/>
        <v>100</v>
      </c>
    </row>
    <row r="27" spans="1:4">
      <c r="A27" t="s">
        <v>99</v>
      </c>
      <c r="B27" t="s">
        <v>33</v>
      </c>
      <c r="C27">
        <v>1</v>
      </c>
      <c r="D27">
        <f t="shared" si="0"/>
        <v>100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2"/>
  <sheetViews>
    <sheetView workbookViewId="0">
      <selection activeCell="D17" sqref="D17"/>
    </sheetView>
  </sheetViews>
  <sheetFormatPr defaultColWidth="9" defaultRowHeight="13.5" outlineLevelCol="3"/>
  <cols>
    <col min="1" max="1" width="12" customWidth="1"/>
    <col min="2" max="2" width="9" customWidth="1"/>
    <col min="3" max="3" width="10" customWidth="1"/>
    <col min="4" max="4" width="59" customWidth="1"/>
  </cols>
  <sheetData>
    <row r="1" spans="1:4">
      <c r="A1" s="1" t="s">
        <v>100</v>
      </c>
      <c r="B1" s="1" t="s">
        <v>20</v>
      </c>
      <c r="C1" s="1" t="s">
        <v>21</v>
      </c>
      <c r="D1" s="1" t="s">
        <v>22</v>
      </c>
    </row>
    <row r="2" spans="1:4">
      <c r="A2" t="s">
        <v>101</v>
      </c>
      <c r="B2" t="s">
        <v>33</v>
      </c>
      <c r="C2">
        <v>0.5</v>
      </c>
      <c r="D2">
        <f t="shared" ref="D2:D22" si="0">IF(B2="","",IF(B2="是",C2*200,IF(B2="否",C2*100,"")))</f>
        <v>50</v>
      </c>
    </row>
    <row r="3" spans="1:4">
      <c r="A3" t="s">
        <v>102</v>
      </c>
      <c r="B3" t="s">
        <v>33</v>
      </c>
      <c r="C3">
        <v>3.5</v>
      </c>
      <c r="D3">
        <f t="shared" si="0"/>
        <v>350</v>
      </c>
    </row>
    <row r="4" spans="1:4">
      <c r="A4" t="s">
        <v>103</v>
      </c>
      <c r="B4" t="s">
        <v>24</v>
      </c>
      <c r="C4">
        <v>8</v>
      </c>
      <c r="D4">
        <f t="shared" si="0"/>
        <v>1600</v>
      </c>
    </row>
    <row r="5" spans="1:4">
      <c r="A5" t="s">
        <v>104</v>
      </c>
      <c r="B5" t="s">
        <v>33</v>
      </c>
      <c r="C5">
        <v>0.5</v>
      </c>
      <c r="D5">
        <f t="shared" si="0"/>
        <v>50</v>
      </c>
    </row>
    <row r="6" spans="1:4">
      <c r="A6" t="s">
        <v>105</v>
      </c>
      <c r="B6" t="s">
        <v>33</v>
      </c>
      <c r="C6">
        <v>0.5</v>
      </c>
      <c r="D6">
        <f t="shared" si="0"/>
        <v>50</v>
      </c>
    </row>
    <row r="7" spans="1:4">
      <c r="A7" t="s">
        <v>106</v>
      </c>
      <c r="B7" t="s">
        <v>33</v>
      </c>
      <c r="C7">
        <v>0.5</v>
      </c>
      <c r="D7">
        <f t="shared" si="0"/>
        <v>50</v>
      </c>
    </row>
    <row r="8" spans="1:4">
      <c r="A8" t="s">
        <v>107</v>
      </c>
      <c r="B8" t="s">
        <v>33</v>
      </c>
      <c r="C8">
        <v>0.5</v>
      </c>
      <c r="D8">
        <f t="shared" si="0"/>
        <v>50</v>
      </c>
    </row>
    <row r="9" spans="1:4">
      <c r="A9" t="s">
        <v>108</v>
      </c>
      <c r="B9" t="s">
        <v>33</v>
      </c>
      <c r="C9">
        <v>3.5</v>
      </c>
      <c r="D9">
        <f t="shared" si="0"/>
        <v>350</v>
      </c>
    </row>
    <row r="10" spans="1:4">
      <c r="A10" t="s">
        <v>109</v>
      </c>
      <c r="B10" t="s">
        <v>24</v>
      </c>
      <c r="C10">
        <v>8</v>
      </c>
      <c r="D10">
        <f t="shared" si="0"/>
        <v>1600</v>
      </c>
    </row>
    <row r="11" spans="1:4">
      <c r="A11" t="s">
        <v>110</v>
      </c>
      <c r="B11" t="s">
        <v>33</v>
      </c>
      <c r="C11">
        <v>0.5</v>
      </c>
      <c r="D11">
        <f t="shared" si="0"/>
        <v>50</v>
      </c>
    </row>
    <row r="12" spans="1:4">
      <c r="A12" t="s">
        <v>111</v>
      </c>
      <c r="B12" t="s">
        <v>33</v>
      </c>
      <c r="C12">
        <v>0.5</v>
      </c>
      <c r="D12">
        <f t="shared" si="0"/>
        <v>50</v>
      </c>
    </row>
    <row r="13" spans="1:4">
      <c r="A13" t="s">
        <v>112</v>
      </c>
      <c r="B13" t="s">
        <v>33</v>
      </c>
      <c r="C13">
        <v>0.5</v>
      </c>
      <c r="D13">
        <f t="shared" si="0"/>
        <v>50</v>
      </c>
    </row>
    <row r="14" spans="1:4">
      <c r="A14" t="s">
        <v>113</v>
      </c>
      <c r="B14" t="s">
        <v>33</v>
      </c>
      <c r="C14">
        <v>0.5</v>
      </c>
      <c r="D14">
        <f t="shared" si="0"/>
        <v>50</v>
      </c>
    </row>
    <row r="15" spans="1:4">
      <c r="A15" t="s">
        <v>114</v>
      </c>
      <c r="B15" t="s">
        <v>33</v>
      </c>
      <c r="C15">
        <v>3.5</v>
      </c>
      <c r="D15">
        <f t="shared" si="0"/>
        <v>350</v>
      </c>
    </row>
    <row r="16" spans="1:4">
      <c r="A16" t="s">
        <v>115</v>
      </c>
      <c r="B16" t="s">
        <v>24</v>
      </c>
      <c r="C16">
        <v>8</v>
      </c>
      <c r="D16">
        <f t="shared" si="0"/>
        <v>1600</v>
      </c>
    </row>
    <row r="17" spans="1:4">
      <c r="A17" t="s">
        <v>116</v>
      </c>
      <c r="B17" t="s">
        <v>33</v>
      </c>
      <c r="C17">
        <v>0.5</v>
      </c>
      <c r="D17">
        <f t="shared" si="0"/>
        <v>50</v>
      </c>
    </row>
    <row r="18" spans="1:4">
      <c r="A18" t="s">
        <v>117</v>
      </c>
      <c r="B18" t="s">
        <v>33</v>
      </c>
      <c r="C18">
        <v>0.5</v>
      </c>
      <c r="D18">
        <f t="shared" si="0"/>
        <v>50</v>
      </c>
    </row>
    <row r="19" spans="1:4">
      <c r="A19" t="s">
        <v>118</v>
      </c>
      <c r="B19" t="s">
        <v>33</v>
      </c>
      <c r="C19">
        <v>0.5</v>
      </c>
      <c r="D19">
        <f t="shared" si="0"/>
        <v>50</v>
      </c>
    </row>
    <row r="20" spans="1:4">
      <c r="A20" t="s">
        <v>119</v>
      </c>
      <c r="B20" t="s">
        <v>33</v>
      </c>
      <c r="C20">
        <v>0.5</v>
      </c>
      <c r="D20">
        <f t="shared" si="0"/>
        <v>50</v>
      </c>
    </row>
    <row r="21" spans="1:4">
      <c r="A21" t="s">
        <v>120</v>
      </c>
      <c r="B21" t="s">
        <v>33</v>
      </c>
      <c r="C21">
        <v>3.5</v>
      </c>
      <c r="D21">
        <f t="shared" si="0"/>
        <v>350</v>
      </c>
    </row>
    <row r="22" spans="1:4">
      <c r="A22" t="s">
        <v>121</v>
      </c>
      <c r="B22" t="s">
        <v>24</v>
      </c>
      <c r="C22">
        <v>8</v>
      </c>
      <c r="D22">
        <f t="shared" si="0"/>
        <v>1600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workbookViewId="0">
      <selection activeCell="D31" sqref="D31"/>
    </sheetView>
  </sheetViews>
  <sheetFormatPr defaultColWidth="9" defaultRowHeight="13.5" outlineLevelCol="3"/>
  <cols>
    <col min="1" max="1" width="12" customWidth="1"/>
    <col min="2" max="2" width="9" customWidth="1"/>
    <col min="3" max="3" width="10" customWidth="1"/>
    <col min="4" max="4" width="59" customWidth="1"/>
  </cols>
  <sheetData>
    <row r="1" spans="1:4">
      <c r="A1" s="1" t="s">
        <v>122</v>
      </c>
      <c r="B1" s="1" t="s">
        <v>20</v>
      </c>
      <c r="C1" s="1" t="s">
        <v>21</v>
      </c>
      <c r="D1" s="1" t="s">
        <v>22</v>
      </c>
    </row>
    <row r="2" spans="1:4">
      <c r="A2" t="s">
        <v>123</v>
      </c>
      <c r="B2" t="s">
        <v>33</v>
      </c>
      <c r="C2">
        <v>0.5</v>
      </c>
      <c r="D2">
        <f t="shared" ref="D2:D13" si="0">IF(B2="","",IF(B2="是",C2*200,IF(B2="否",C2*100,"")))</f>
        <v>50</v>
      </c>
    </row>
    <row r="3" spans="1:4">
      <c r="A3" t="s">
        <v>124</v>
      </c>
      <c r="B3" t="s">
        <v>33</v>
      </c>
      <c r="C3">
        <v>0.5</v>
      </c>
      <c r="D3">
        <f t="shared" si="0"/>
        <v>50</v>
      </c>
    </row>
    <row r="4" spans="1:4">
      <c r="A4" t="s">
        <v>125</v>
      </c>
      <c r="B4" t="s">
        <v>33</v>
      </c>
      <c r="C4">
        <v>0.5</v>
      </c>
      <c r="D4">
        <f t="shared" si="0"/>
        <v>50</v>
      </c>
    </row>
    <row r="5" spans="1:4">
      <c r="A5" t="s">
        <v>126</v>
      </c>
      <c r="B5" t="s">
        <v>33</v>
      </c>
      <c r="C5">
        <v>0.5</v>
      </c>
      <c r="D5">
        <f t="shared" si="0"/>
        <v>50</v>
      </c>
    </row>
    <row r="6" spans="1:4">
      <c r="A6" t="s">
        <v>127</v>
      </c>
      <c r="B6" t="s">
        <v>33</v>
      </c>
      <c r="C6">
        <v>3.5</v>
      </c>
      <c r="D6">
        <f t="shared" si="0"/>
        <v>350</v>
      </c>
    </row>
    <row r="7" spans="1:4">
      <c r="A7" t="s">
        <v>128</v>
      </c>
      <c r="B7" t="s">
        <v>24</v>
      </c>
      <c r="C7">
        <v>8</v>
      </c>
      <c r="D7">
        <f t="shared" si="0"/>
        <v>1600</v>
      </c>
    </row>
    <row r="8" spans="1:4">
      <c r="A8" t="s">
        <v>129</v>
      </c>
      <c r="B8" t="s">
        <v>33</v>
      </c>
      <c r="C8">
        <v>0.5</v>
      </c>
      <c r="D8">
        <f t="shared" si="0"/>
        <v>50</v>
      </c>
    </row>
    <row r="9" spans="1:4">
      <c r="A9" t="s">
        <v>130</v>
      </c>
      <c r="B9" t="s">
        <v>33</v>
      </c>
      <c r="C9">
        <v>0.5</v>
      </c>
      <c r="D9">
        <f t="shared" si="0"/>
        <v>50</v>
      </c>
    </row>
    <row r="10" spans="1:4">
      <c r="A10" t="s">
        <v>131</v>
      </c>
      <c r="B10" t="s">
        <v>33</v>
      </c>
      <c r="C10">
        <v>0.5</v>
      </c>
      <c r="D10">
        <f t="shared" si="0"/>
        <v>50</v>
      </c>
    </row>
    <row r="11" spans="1:4">
      <c r="A11" t="s">
        <v>132</v>
      </c>
      <c r="B11" t="s">
        <v>33</v>
      </c>
      <c r="C11">
        <v>0.5</v>
      </c>
      <c r="D11">
        <f t="shared" si="0"/>
        <v>50</v>
      </c>
    </row>
    <row r="12" spans="1:4">
      <c r="A12" t="s">
        <v>133</v>
      </c>
      <c r="B12" t="s">
        <v>33</v>
      </c>
      <c r="C12">
        <v>3.5</v>
      </c>
      <c r="D12">
        <f t="shared" si="0"/>
        <v>350</v>
      </c>
    </row>
    <row r="13" spans="1:4">
      <c r="A13" t="s">
        <v>134</v>
      </c>
      <c r="B13" t="s">
        <v>24</v>
      </c>
      <c r="C13">
        <v>8</v>
      </c>
      <c r="D13">
        <f t="shared" si="0"/>
        <v>1600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workbookViewId="0">
      <selection activeCell="D31" sqref="D31"/>
    </sheetView>
  </sheetViews>
  <sheetFormatPr defaultColWidth="9" defaultRowHeight="13.5" outlineLevelCol="3"/>
  <cols>
    <col min="1" max="1" width="12" customWidth="1"/>
    <col min="2" max="2" width="9" customWidth="1"/>
    <col min="3" max="3" width="10" customWidth="1"/>
    <col min="4" max="4" width="59" customWidth="1"/>
  </cols>
  <sheetData>
    <row r="1" spans="1:4">
      <c r="A1" s="1" t="s">
        <v>135</v>
      </c>
      <c r="B1" s="1" t="s">
        <v>20</v>
      </c>
      <c r="C1" s="1" t="s">
        <v>21</v>
      </c>
      <c r="D1" s="1" t="s">
        <v>22</v>
      </c>
    </row>
    <row r="2" spans="1:4">
      <c r="A2" t="s">
        <v>136</v>
      </c>
      <c r="B2" t="s">
        <v>24</v>
      </c>
      <c r="C2">
        <v>8</v>
      </c>
      <c r="D2">
        <f t="shared" ref="D2:D24" si="0">IF(B2="","",IF(B2="是",C2*200,IF(B2="否",C2*100,"")))</f>
        <v>1600</v>
      </c>
    </row>
    <row r="3" spans="1:4">
      <c r="A3" t="s">
        <v>137</v>
      </c>
      <c r="B3" t="s">
        <v>24</v>
      </c>
      <c r="C3">
        <v>8</v>
      </c>
      <c r="D3">
        <f t="shared" si="0"/>
        <v>1600</v>
      </c>
    </row>
    <row r="4" spans="1:4">
      <c r="A4" t="s">
        <v>138</v>
      </c>
      <c r="B4" t="s">
        <v>24</v>
      </c>
      <c r="C4">
        <v>8</v>
      </c>
      <c r="D4">
        <f t="shared" si="0"/>
        <v>1600</v>
      </c>
    </row>
    <row r="5" spans="1:4">
      <c r="A5" t="s">
        <v>139</v>
      </c>
      <c r="B5" t="s">
        <v>24</v>
      </c>
      <c r="C5">
        <v>8</v>
      </c>
      <c r="D5">
        <f t="shared" si="0"/>
        <v>1600</v>
      </c>
    </row>
    <row r="6" spans="1:4">
      <c r="A6" t="s">
        <v>140</v>
      </c>
      <c r="B6" t="s">
        <v>24</v>
      </c>
      <c r="C6">
        <v>8</v>
      </c>
      <c r="D6">
        <f t="shared" si="0"/>
        <v>1600</v>
      </c>
    </row>
    <row r="7" spans="1:4">
      <c r="A7" t="s">
        <v>141</v>
      </c>
      <c r="B7" t="s">
        <v>24</v>
      </c>
      <c r="C7">
        <v>8</v>
      </c>
      <c r="D7">
        <f t="shared" si="0"/>
        <v>1600</v>
      </c>
    </row>
    <row r="8" spans="1:4">
      <c r="A8" t="s">
        <v>142</v>
      </c>
      <c r="B8" t="s">
        <v>24</v>
      </c>
      <c r="C8">
        <v>8</v>
      </c>
      <c r="D8">
        <f t="shared" si="0"/>
        <v>1600</v>
      </c>
    </row>
    <row r="9" spans="1:4">
      <c r="A9" t="s">
        <v>143</v>
      </c>
      <c r="B9" t="s">
        <v>24</v>
      </c>
      <c r="C9">
        <v>8</v>
      </c>
      <c r="D9">
        <f t="shared" si="0"/>
        <v>1600</v>
      </c>
    </row>
    <row r="10" spans="1:4">
      <c r="A10" t="s">
        <v>144</v>
      </c>
      <c r="B10" t="s">
        <v>24</v>
      </c>
      <c r="C10">
        <v>8</v>
      </c>
      <c r="D10">
        <f t="shared" si="0"/>
        <v>1600</v>
      </c>
    </row>
    <row r="11" spans="1:4">
      <c r="A11" t="s">
        <v>145</v>
      </c>
      <c r="B11" t="s">
        <v>24</v>
      </c>
      <c r="C11">
        <v>8</v>
      </c>
      <c r="D11">
        <f t="shared" si="0"/>
        <v>1600</v>
      </c>
    </row>
    <row r="12" spans="1:4">
      <c r="A12" t="s">
        <v>146</v>
      </c>
      <c r="B12" t="s">
        <v>24</v>
      </c>
      <c r="C12">
        <v>8</v>
      </c>
      <c r="D12">
        <f t="shared" si="0"/>
        <v>1600</v>
      </c>
    </row>
    <row r="13" spans="1:4">
      <c r="A13" t="s">
        <v>147</v>
      </c>
      <c r="B13" t="s">
        <v>24</v>
      </c>
      <c r="C13">
        <v>8</v>
      </c>
      <c r="D13">
        <f t="shared" si="0"/>
        <v>1600</v>
      </c>
    </row>
    <row r="14" spans="1:4">
      <c r="A14" t="s">
        <v>148</v>
      </c>
      <c r="B14" t="s">
        <v>24</v>
      </c>
      <c r="C14">
        <v>8</v>
      </c>
      <c r="D14">
        <f t="shared" si="0"/>
        <v>1600</v>
      </c>
    </row>
    <row r="15" spans="1:4">
      <c r="A15" t="s">
        <v>149</v>
      </c>
      <c r="B15" t="s">
        <v>24</v>
      </c>
      <c r="C15">
        <v>8</v>
      </c>
      <c r="D15">
        <f t="shared" si="0"/>
        <v>1600</v>
      </c>
    </row>
    <row r="16" spans="1:4">
      <c r="A16" t="s">
        <v>150</v>
      </c>
      <c r="B16" t="s">
        <v>24</v>
      </c>
      <c r="C16">
        <v>8</v>
      </c>
      <c r="D16">
        <f t="shared" si="0"/>
        <v>1600</v>
      </c>
    </row>
    <row r="17" spans="1:4">
      <c r="A17" t="s">
        <v>151</v>
      </c>
      <c r="B17" t="s">
        <v>24</v>
      </c>
      <c r="C17">
        <v>8</v>
      </c>
      <c r="D17">
        <f t="shared" si="0"/>
        <v>1600</v>
      </c>
    </row>
    <row r="18" spans="1:4">
      <c r="A18" t="s">
        <v>152</v>
      </c>
      <c r="B18" t="s">
        <v>24</v>
      </c>
      <c r="C18">
        <v>8</v>
      </c>
      <c r="D18">
        <f t="shared" si="0"/>
        <v>1600</v>
      </c>
    </row>
    <row r="19" spans="1:4">
      <c r="A19" t="s">
        <v>153</v>
      </c>
      <c r="B19" t="s">
        <v>24</v>
      </c>
      <c r="C19">
        <v>8</v>
      </c>
      <c r="D19">
        <f t="shared" si="0"/>
        <v>1600</v>
      </c>
    </row>
    <row r="20" spans="1:4">
      <c r="A20" t="s">
        <v>154</v>
      </c>
      <c r="B20" t="s">
        <v>24</v>
      </c>
      <c r="C20">
        <v>8</v>
      </c>
      <c r="D20">
        <f t="shared" si="0"/>
        <v>1600</v>
      </c>
    </row>
    <row r="21" spans="1:4">
      <c r="A21" t="s">
        <v>155</v>
      </c>
      <c r="B21" t="s">
        <v>24</v>
      </c>
      <c r="C21">
        <v>8</v>
      </c>
      <c r="D21">
        <f t="shared" si="0"/>
        <v>1600</v>
      </c>
    </row>
    <row r="22" spans="1:4">
      <c r="A22" t="s">
        <v>156</v>
      </c>
      <c r="B22" t="s">
        <v>24</v>
      </c>
      <c r="C22">
        <v>8</v>
      </c>
      <c r="D22">
        <f t="shared" si="0"/>
        <v>1600</v>
      </c>
    </row>
    <row r="23" spans="1:4">
      <c r="A23" t="s">
        <v>157</v>
      </c>
      <c r="B23" t="s">
        <v>24</v>
      </c>
      <c r="C23">
        <v>8</v>
      </c>
      <c r="D23">
        <f t="shared" si="0"/>
        <v>1600</v>
      </c>
    </row>
    <row r="24" spans="1:4">
      <c r="A24" t="s">
        <v>158</v>
      </c>
      <c r="B24" t="s">
        <v>24</v>
      </c>
      <c r="C24">
        <v>8</v>
      </c>
      <c r="D24">
        <f t="shared" si="0"/>
        <v>1600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D26" sqref="D26"/>
    </sheetView>
  </sheetViews>
  <sheetFormatPr defaultColWidth="9" defaultRowHeight="13.5" outlineLevelCol="3"/>
  <cols>
    <col min="1" max="1" width="12" customWidth="1"/>
    <col min="2" max="2" width="9" customWidth="1"/>
    <col min="3" max="3" width="10" customWidth="1"/>
    <col min="4" max="4" width="59" customWidth="1"/>
  </cols>
  <sheetData>
    <row r="1" spans="1:4">
      <c r="A1" s="1" t="s">
        <v>159</v>
      </c>
      <c r="B1" s="1" t="s">
        <v>20</v>
      </c>
      <c r="C1" s="1" t="s">
        <v>21</v>
      </c>
      <c r="D1" s="1" t="s">
        <v>22</v>
      </c>
    </row>
    <row r="2" spans="1:4">
      <c r="A2" t="s">
        <v>160</v>
      </c>
      <c r="B2" t="s">
        <v>24</v>
      </c>
      <c r="C2">
        <v>8</v>
      </c>
      <c r="D2">
        <f t="shared" ref="D2:D16" si="0">IF(B2="","",IF(B2="是",C2*200,IF(B2="否",C2*100,"")))</f>
        <v>1600</v>
      </c>
    </row>
    <row r="3" spans="1:4">
      <c r="A3" t="s">
        <v>161</v>
      </c>
      <c r="B3" t="s">
        <v>24</v>
      </c>
      <c r="C3">
        <v>8</v>
      </c>
      <c r="D3">
        <f t="shared" si="0"/>
        <v>1600</v>
      </c>
    </row>
    <row r="4" spans="1:4">
      <c r="A4" t="s">
        <v>162</v>
      </c>
      <c r="B4" t="s">
        <v>24</v>
      </c>
      <c r="C4">
        <v>8</v>
      </c>
      <c r="D4">
        <f t="shared" si="0"/>
        <v>1600</v>
      </c>
    </row>
    <row r="5" spans="1:4">
      <c r="A5" t="s">
        <v>163</v>
      </c>
      <c r="B5" t="s">
        <v>24</v>
      </c>
      <c r="C5">
        <v>8</v>
      </c>
      <c r="D5">
        <f t="shared" si="0"/>
        <v>1600</v>
      </c>
    </row>
    <row r="6" spans="1:4">
      <c r="A6" t="s">
        <v>164</v>
      </c>
      <c r="B6" t="s">
        <v>24</v>
      </c>
      <c r="C6">
        <v>8</v>
      </c>
      <c r="D6">
        <f t="shared" si="0"/>
        <v>1600</v>
      </c>
    </row>
    <row r="7" spans="1:4">
      <c r="A7" t="s">
        <v>165</v>
      </c>
      <c r="B7" t="s">
        <v>24</v>
      </c>
      <c r="C7">
        <v>8</v>
      </c>
      <c r="D7">
        <f t="shared" si="0"/>
        <v>1600</v>
      </c>
    </row>
    <row r="8" spans="1:4">
      <c r="A8" t="s">
        <v>166</v>
      </c>
      <c r="B8" t="s">
        <v>24</v>
      </c>
      <c r="C8">
        <v>8</v>
      </c>
      <c r="D8">
        <f t="shared" si="0"/>
        <v>1600</v>
      </c>
    </row>
    <row r="9" spans="1:4">
      <c r="A9" t="s">
        <v>167</v>
      </c>
      <c r="B9" t="s">
        <v>24</v>
      </c>
      <c r="C9">
        <v>8</v>
      </c>
      <c r="D9">
        <f t="shared" si="0"/>
        <v>1600</v>
      </c>
    </row>
    <row r="10" spans="1:4">
      <c r="A10" t="s">
        <v>168</v>
      </c>
      <c r="B10" t="s">
        <v>24</v>
      </c>
      <c r="C10">
        <v>8</v>
      </c>
      <c r="D10">
        <f t="shared" si="0"/>
        <v>1600</v>
      </c>
    </row>
    <row r="11" spans="1:4">
      <c r="A11" t="s">
        <v>169</v>
      </c>
      <c r="B11" t="s">
        <v>24</v>
      </c>
      <c r="C11">
        <v>8</v>
      </c>
      <c r="D11">
        <f t="shared" si="0"/>
        <v>1600</v>
      </c>
    </row>
    <row r="12" spans="1:4">
      <c r="A12" t="s">
        <v>170</v>
      </c>
      <c r="B12" t="s">
        <v>24</v>
      </c>
      <c r="C12">
        <v>8</v>
      </c>
      <c r="D12">
        <f t="shared" si="0"/>
        <v>1600</v>
      </c>
    </row>
    <row r="13" spans="1:4">
      <c r="A13" t="s">
        <v>171</v>
      </c>
      <c r="B13" t="s">
        <v>24</v>
      </c>
      <c r="C13">
        <v>8</v>
      </c>
      <c r="D13">
        <f t="shared" si="0"/>
        <v>1600</v>
      </c>
    </row>
    <row r="14" spans="1:4">
      <c r="A14" t="s">
        <v>172</v>
      </c>
      <c r="B14" t="s">
        <v>24</v>
      </c>
      <c r="C14">
        <v>8</v>
      </c>
      <c r="D14">
        <f t="shared" si="0"/>
        <v>1600</v>
      </c>
    </row>
    <row r="15" spans="1:4">
      <c r="A15" t="s">
        <v>173</v>
      </c>
      <c r="B15" t="s">
        <v>24</v>
      </c>
      <c r="C15">
        <v>8</v>
      </c>
      <c r="D15">
        <f t="shared" si="0"/>
        <v>1600</v>
      </c>
    </row>
    <row r="16" spans="1:4">
      <c r="A16" t="s">
        <v>174</v>
      </c>
      <c r="B16" t="s">
        <v>24</v>
      </c>
      <c r="C16">
        <v>8</v>
      </c>
      <c r="D16">
        <f t="shared" si="0"/>
        <v>1600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workbookViewId="0">
      <selection activeCell="A1" sqref="A1"/>
    </sheetView>
  </sheetViews>
  <sheetFormatPr defaultColWidth="9" defaultRowHeight="13.5" outlineLevelCol="3"/>
  <cols>
    <col min="1" max="1" width="12" customWidth="1"/>
    <col min="2" max="2" width="9" customWidth="1"/>
    <col min="3" max="3" width="10" customWidth="1"/>
    <col min="4" max="4" width="59" customWidth="1"/>
  </cols>
  <sheetData>
    <row r="1" spans="1:4">
      <c r="A1" s="1" t="s">
        <v>175</v>
      </c>
      <c r="B1" s="1" t="s">
        <v>20</v>
      </c>
      <c r="C1" s="1" t="s">
        <v>21</v>
      </c>
      <c r="D1" s="1" t="s">
        <v>22</v>
      </c>
    </row>
    <row r="2" spans="1:4">
      <c r="A2" t="s">
        <v>176</v>
      </c>
      <c r="B2" t="s">
        <v>33</v>
      </c>
      <c r="C2">
        <v>0.5</v>
      </c>
      <c r="D2">
        <f t="shared" ref="D2:D27" si="0">IF(B2="","",IF(B2="是",C2*200,IF(B2="否",C2*100,"")))</f>
        <v>50</v>
      </c>
    </row>
    <row r="3" spans="1:4">
      <c r="A3" t="s">
        <v>177</v>
      </c>
      <c r="B3" t="s">
        <v>33</v>
      </c>
      <c r="C3">
        <v>0.5</v>
      </c>
      <c r="D3">
        <f t="shared" si="0"/>
        <v>50</v>
      </c>
    </row>
    <row r="4" spans="1:4">
      <c r="A4" t="s">
        <v>178</v>
      </c>
      <c r="B4" t="s">
        <v>33</v>
      </c>
      <c r="C4">
        <v>0.5</v>
      </c>
      <c r="D4">
        <f t="shared" si="0"/>
        <v>50</v>
      </c>
    </row>
    <row r="5" spans="1:4">
      <c r="A5" t="s">
        <v>179</v>
      </c>
      <c r="B5" t="s">
        <v>33</v>
      </c>
      <c r="C5">
        <v>0.5</v>
      </c>
      <c r="D5">
        <f t="shared" si="0"/>
        <v>50</v>
      </c>
    </row>
    <row r="6" spans="1:4">
      <c r="A6" t="s">
        <v>180</v>
      </c>
      <c r="B6" t="s">
        <v>33</v>
      </c>
      <c r="C6">
        <v>3.5</v>
      </c>
      <c r="D6">
        <f t="shared" si="0"/>
        <v>350</v>
      </c>
    </row>
    <row r="7" spans="1:4">
      <c r="A7" t="s">
        <v>181</v>
      </c>
      <c r="B7" t="s">
        <v>24</v>
      </c>
      <c r="C7">
        <v>8</v>
      </c>
      <c r="D7">
        <f t="shared" si="0"/>
        <v>1600</v>
      </c>
    </row>
    <row r="8" spans="1:4">
      <c r="A8" t="s">
        <v>182</v>
      </c>
      <c r="B8" t="s">
        <v>33</v>
      </c>
      <c r="C8">
        <v>0.5</v>
      </c>
      <c r="D8">
        <f t="shared" si="0"/>
        <v>50</v>
      </c>
    </row>
    <row r="9" spans="1:4">
      <c r="A9" t="s">
        <v>183</v>
      </c>
      <c r="B9" t="s">
        <v>33</v>
      </c>
      <c r="C9">
        <v>0.5</v>
      </c>
      <c r="D9">
        <f t="shared" si="0"/>
        <v>50</v>
      </c>
    </row>
    <row r="10" spans="1:4">
      <c r="A10" t="s">
        <v>184</v>
      </c>
      <c r="B10" t="s">
        <v>33</v>
      </c>
      <c r="C10">
        <v>0.5</v>
      </c>
      <c r="D10">
        <f t="shared" si="0"/>
        <v>50</v>
      </c>
    </row>
    <row r="11" spans="1:4">
      <c r="A11" t="s">
        <v>185</v>
      </c>
      <c r="B11" t="s">
        <v>33</v>
      </c>
      <c r="C11">
        <v>0.5</v>
      </c>
      <c r="D11">
        <f t="shared" si="0"/>
        <v>50</v>
      </c>
    </row>
    <row r="12" spans="1:4">
      <c r="A12" t="s">
        <v>186</v>
      </c>
      <c r="B12" t="s">
        <v>33</v>
      </c>
      <c r="C12">
        <v>3.5</v>
      </c>
      <c r="D12">
        <f t="shared" si="0"/>
        <v>350</v>
      </c>
    </row>
    <row r="13" spans="1:4">
      <c r="A13" t="s">
        <v>187</v>
      </c>
      <c r="B13" t="s">
        <v>24</v>
      </c>
      <c r="C13">
        <v>8</v>
      </c>
      <c r="D13">
        <f t="shared" si="0"/>
        <v>1600</v>
      </c>
    </row>
    <row r="14" spans="1:4">
      <c r="A14" t="s">
        <v>188</v>
      </c>
      <c r="B14" t="s">
        <v>33</v>
      </c>
      <c r="C14">
        <v>0.5</v>
      </c>
      <c r="D14">
        <f t="shared" si="0"/>
        <v>50</v>
      </c>
    </row>
    <row r="15" spans="1:4">
      <c r="A15" t="s">
        <v>189</v>
      </c>
      <c r="B15" t="s">
        <v>33</v>
      </c>
      <c r="C15">
        <v>0.5</v>
      </c>
      <c r="D15">
        <f t="shared" si="0"/>
        <v>50</v>
      </c>
    </row>
    <row r="16" spans="1:4">
      <c r="A16" t="s">
        <v>190</v>
      </c>
      <c r="B16" t="s">
        <v>33</v>
      </c>
      <c r="C16">
        <v>0.5</v>
      </c>
      <c r="D16">
        <f t="shared" si="0"/>
        <v>50</v>
      </c>
    </row>
    <row r="17" spans="1:4">
      <c r="A17" t="s">
        <v>191</v>
      </c>
      <c r="B17" t="s">
        <v>33</v>
      </c>
      <c r="C17">
        <v>0.5</v>
      </c>
      <c r="D17">
        <f t="shared" si="0"/>
        <v>50</v>
      </c>
    </row>
    <row r="18" spans="1:4">
      <c r="A18" t="s">
        <v>192</v>
      </c>
      <c r="B18" t="s">
        <v>33</v>
      </c>
      <c r="C18">
        <v>3.5</v>
      </c>
      <c r="D18">
        <f t="shared" si="0"/>
        <v>350</v>
      </c>
    </row>
    <row r="19" spans="1:4">
      <c r="A19" t="s">
        <v>193</v>
      </c>
      <c r="B19" t="s">
        <v>24</v>
      </c>
      <c r="C19">
        <v>8</v>
      </c>
      <c r="D19">
        <f t="shared" si="0"/>
        <v>1600</v>
      </c>
    </row>
    <row r="20" spans="1:4">
      <c r="A20" t="s">
        <v>194</v>
      </c>
      <c r="B20" t="s">
        <v>33</v>
      </c>
      <c r="C20">
        <v>0.5</v>
      </c>
      <c r="D20">
        <f t="shared" si="0"/>
        <v>50</v>
      </c>
    </row>
    <row r="21" spans="1:4">
      <c r="A21" t="s">
        <v>195</v>
      </c>
      <c r="B21" t="s">
        <v>33</v>
      </c>
      <c r="C21">
        <v>0.5</v>
      </c>
      <c r="D21">
        <f t="shared" si="0"/>
        <v>50</v>
      </c>
    </row>
    <row r="22" spans="1:4">
      <c r="A22" t="s">
        <v>196</v>
      </c>
      <c r="B22" t="s">
        <v>33</v>
      </c>
      <c r="C22">
        <v>0.5</v>
      </c>
      <c r="D22">
        <f t="shared" si="0"/>
        <v>50</v>
      </c>
    </row>
    <row r="23" spans="1:4">
      <c r="A23" t="s">
        <v>197</v>
      </c>
      <c r="B23" t="s">
        <v>33</v>
      </c>
      <c r="C23">
        <v>0.5</v>
      </c>
      <c r="D23">
        <f t="shared" si="0"/>
        <v>50</v>
      </c>
    </row>
    <row r="24" spans="1:4">
      <c r="A24" t="s">
        <v>198</v>
      </c>
      <c r="B24" t="s">
        <v>33</v>
      </c>
      <c r="C24">
        <v>3.5</v>
      </c>
      <c r="D24">
        <f t="shared" si="0"/>
        <v>350</v>
      </c>
    </row>
    <row r="25" spans="1:4">
      <c r="A25" t="s">
        <v>199</v>
      </c>
      <c r="B25" t="s">
        <v>24</v>
      </c>
      <c r="C25">
        <v>8</v>
      </c>
      <c r="D25">
        <f t="shared" si="0"/>
        <v>1600</v>
      </c>
    </row>
    <row r="26" spans="1:4">
      <c r="A26" t="s">
        <v>200</v>
      </c>
      <c r="B26" t="s">
        <v>33</v>
      </c>
      <c r="C26">
        <v>0.5</v>
      </c>
      <c r="D26">
        <f t="shared" si="0"/>
        <v>50</v>
      </c>
    </row>
    <row r="27" spans="1:4">
      <c r="A27" t="s">
        <v>201</v>
      </c>
      <c r="B27" t="s">
        <v>33</v>
      </c>
      <c r="C27">
        <v>0.5</v>
      </c>
      <c r="D27">
        <f t="shared" si="0"/>
        <v>50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workbookViewId="0">
      <selection activeCell="A5" sqref="$A5:$XFD5"/>
    </sheetView>
  </sheetViews>
  <sheetFormatPr defaultColWidth="9" defaultRowHeight="13.5" outlineLevelCol="3"/>
  <cols>
    <col min="1" max="1" width="12" customWidth="1"/>
    <col min="2" max="2" width="9" customWidth="1"/>
    <col min="3" max="3" width="10" customWidth="1"/>
    <col min="4" max="4" width="59" customWidth="1"/>
  </cols>
  <sheetData>
    <row r="1" spans="1:4">
      <c r="A1" s="1" t="s">
        <v>202</v>
      </c>
      <c r="B1" s="1" t="s">
        <v>20</v>
      </c>
      <c r="C1" s="1" t="s">
        <v>21</v>
      </c>
      <c r="D1" s="1" t="s">
        <v>22</v>
      </c>
    </row>
    <row r="2" spans="1:4">
      <c r="A2" t="s">
        <v>203</v>
      </c>
      <c r="B2" t="s">
        <v>24</v>
      </c>
      <c r="C2">
        <v>8</v>
      </c>
      <c r="D2">
        <f t="shared" ref="D2:D26" si="0">IF(B2="","",IF(B2="是",C2*200,IF(B2="否",C2*100,"")))</f>
        <v>1600</v>
      </c>
    </row>
    <row r="3" spans="1:4">
      <c r="A3" t="s">
        <v>204</v>
      </c>
      <c r="B3" t="s">
        <v>24</v>
      </c>
      <c r="C3">
        <v>8</v>
      </c>
      <c r="D3">
        <f t="shared" si="0"/>
        <v>1600</v>
      </c>
    </row>
    <row r="4" spans="1:4">
      <c r="A4" t="s">
        <v>205</v>
      </c>
      <c r="B4" t="s">
        <v>24</v>
      </c>
      <c r="C4">
        <v>8</v>
      </c>
      <c r="D4">
        <f t="shared" si="0"/>
        <v>1600</v>
      </c>
    </row>
    <row r="5" spans="1:4">
      <c r="A5" t="s">
        <v>206</v>
      </c>
      <c r="B5" t="s">
        <v>24</v>
      </c>
      <c r="C5">
        <v>8</v>
      </c>
      <c r="D5">
        <f t="shared" si="0"/>
        <v>1600</v>
      </c>
    </row>
    <row r="6" spans="1:4">
      <c r="A6" t="s">
        <v>207</v>
      </c>
      <c r="B6" t="s">
        <v>33</v>
      </c>
      <c r="C6">
        <v>0.5</v>
      </c>
      <c r="D6">
        <f t="shared" si="0"/>
        <v>50</v>
      </c>
    </row>
    <row r="7" spans="1:4">
      <c r="A7" t="s">
        <v>208</v>
      </c>
      <c r="B7" t="s">
        <v>33</v>
      </c>
      <c r="C7">
        <v>0.5</v>
      </c>
      <c r="D7">
        <f t="shared" si="0"/>
        <v>50</v>
      </c>
    </row>
    <row r="8" spans="1:4">
      <c r="A8" t="s">
        <v>209</v>
      </c>
      <c r="B8" t="s">
        <v>33</v>
      </c>
      <c r="C8">
        <v>3.5</v>
      </c>
      <c r="D8">
        <f t="shared" si="0"/>
        <v>350</v>
      </c>
    </row>
    <row r="9" spans="1:4">
      <c r="A9" t="s">
        <v>210</v>
      </c>
      <c r="B9" t="s">
        <v>24</v>
      </c>
      <c r="C9">
        <v>8</v>
      </c>
      <c r="D9">
        <f t="shared" si="0"/>
        <v>1600</v>
      </c>
    </row>
    <row r="10" spans="1:4">
      <c r="A10" t="s">
        <v>211</v>
      </c>
      <c r="B10" t="s">
        <v>33</v>
      </c>
      <c r="C10">
        <v>0.5</v>
      </c>
      <c r="D10">
        <f t="shared" si="0"/>
        <v>50</v>
      </c>
    </row>
    <row r="11" spans="1:4">
      <c r="A11" t="s">
        <v>212</v>
      </c>
      <c r="B11" t="s">
        <v>33</v>
      </c>
      <c r="C11">
        <v>0.5</v>
      </c>
      <c r="D11">
        <f t="shared" si="0"/>
        <v>50</v>
      </c>
    </row>
    <row r="12" spans="1:4">
      <c r="A12" t="s">
        <v>213</v>
      </c>
      <c r="B12" t="s">
        <v>33</v>
      </c>
      <c r="C12">
        <v>0.5</v>
      </c>
      <c r="D12">
        <f t="shared" si="0"/>
        <v>50</v>
      </c>
    </row>
    <row r="13" spans="1:4">
      <c r="A13" t="s">
        <v>214</v>
      </c>
      <c r="B13" t="s">
        <v>33</v>
      </c>
      <c r="C13">
        <v>0.5</v>
      </c>
      <c r="D13">
        <f t="shared" si="0"/>
        <v>50</v>
      </c>
    </row>
    <row r="14" spans="1:4">
      <c r="A14" t="s">
        <v>215</v>
      </c>
      <c r="B14" t="s">
        <v>33</v>
      </c>
      <c r="C14">
        <v>3.5</v>
      </c>
      <c r="D14">
        <f t="shared" si="0"/>
        <v>350</v>
      </c>
    </row>
    <row r="15" spans="1:4">
      <c r="A15" t="s">
        <v>216</v>
      </c>
      <c r="B15" t="s">
        <v>24</v>
      </c>
      <c r="C15">
        <v>8</v>
      </c>
      <c r="D15">
        <f t="shared" si="0"/>
        <v>1600</v>
      </c>
    </row>
    <row r="16" spans="1:4">
      <c r="A16" t="s">
        <v>217</v>
      </c>
      <c r="B16" t="s">
        <v>33</v>
      </c>
      <c r="C16">
        <v>0.5</v>
      </c>
      <c r="D16">
        <f t="shared" si="0"/>
        <v>50</v>
      </c>
    </row>
    <row r="17" spans="1:4">
      <c r="A17" t="s">
        <v>218</v>
      </c>
      <c r="B17" t="s">
        <v>33</v>
      </c>
      <c r="C17">
        <v>0.5</v>
      </c>
      <c r="D17">
        <f t="shared" si="0"/>
        <v>50</v>
      </c>
    </row>
    <row r="18" spans="1:4">
      <c r="A18" t="s">
        <v>219</v>
      </c>
      <c r="B18" t="s">
        <v>33</v>
      </c>
      <c r="C18">
        <v>0.5</v>
      </c>
      <c r="D18">
        <f t="shared" si="0"/>
        <v>50</v>
      </c>
    </row>
    <row r="19" spans="1:4">
      <c r="A19" t="s">
        <v>220</v>
      </c>
      <c r="B19" t="s">
        <v>33</v>
      </c>
      <c r="C19">
        <v>0.5</v>
      </c>
      <c r="D19">
        <f t="shared" si="0"/>
        <v>50</v>
      </c>
    </row>
    <row r="20" spans="1:4">
      <c r="A20" t="s">
        <v>221</v>
      </c>
      <c r="B20" t="s">
        <v>33</v>
      </c>
      <c r="C20">
        <v>3.5</v>
      </c>
      <c r="D20">
        <f t="shared" si="0"/>
        <v>350</v>
      </c>
    </row>
    <row r="21" spans="1:4">
      <c r="A21" t="s">
        <v>222</v>
      </c>
      <c r="B21" t="s">
        <v>24</v>
      </c>
      <c r="C21">
        <v>8</v>
      </c>
      <c r="D21">
        <f t="shared" si="0"/>
        <v>1600</v>
      </c>
    </row>
    <row r="22" spans="1:4">
      <c r="A22" t="s">
        <v>223</v>
      </c>
      <c r="B22" t="s">
        <v>33</v>
      </c>
      <c r="C22">
        <v>0.5</v>
      </c>
      <c r="D22">
        <f t="shared" si="0"/>
        <v>50</v>
      </c>
    </row>
    <row r="23" spans="1:4">
      <c r="A23" t="s">
        <v>224</v>
      </c>
      <c r="B23" t="s">
        <v>33</v>
      </c>
      <c r="C23">
        <v>0.5</v>
      </c>
      <c r="D23">
        <f t="shared" si="0"/>
        <v>50</v>
      </c>
    </row>
    <row r="24" spans="1:4">
      <c r="A24" t="s">
        <v>225</v>
      </c>
      <c r="B24" t="s">
        <v>33</v>
      </c>
      <c r="C24">
        <v>0.5</v>
      </c>
      <c r="D24">
        <f t="shared" si="0"/>
        <v>50</v>
      </c>
    </row>
    <row r="25" spans="1:4">
      <c r="A25" t="s">
        <v>226</v>
      </c>
      <c r="B25" t="s">
        <v>33</v>
      </c>
      <c r="C25">
        <v>0.5</v>
      </c>
      <c r="D25">
        <f t="shared" si="0"/>
        <v>50</v>
      </c>
    </row>
    <row r="26" spans="1:4">
      <c r="A26" t="s">
        <v>227</v>
      </c>
      <c r="B26" t="s">
        <v>33</v>
      </c>
      <c r="C26">
        <v>3.5</v>
      </c>
      <c r="D26">
        <f t="shared" si="0"/>
        <v>350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6"/>
  <sheetViews>
    <sheetView workbookViewId="0">
      <selection activeCell="A1" sqref="A1"/>
    </sheetView>
  </sheetViews>
  <sheetFormatPr defaultColWidth="9" defaultRowHeight="13.5" outlineLevelCol="3"/>
  <cols>
    <col min="1" max="1" width="12" customWidth="1"/>
    <col min="2" max="2" width="9" customWidth="1"/>
    <col min="3" max="3" width="10" customWidth="1"/>
    <col min="4" max="4" width="59" customWidth="1"/>
  </cols>
  <sheetData>
    <row r="1" spans="1:4">
      <c r="A1" s="1" t="s">
        <v>228</v>
      </c>
      <c r="B1" s="1" t="s">
        <v>20</v>
      </c>
      <c r="C1" s="1" t="s">
        <v>21</v>
      </c>
      <c r="D1" s="1" t="s">
        <v>22</v>
      </c>
    </row>
    <row r="2" spans="1:4">
      <c r="A2" t="s">
        <v>229</v>
      </c>
      <c r="B2" t="s">
        <v>24</v>
      </c>
      <c r="C2">
        <v>8</v>
      </c>
      <c r="D2">
        <f t="shared" ref="D2:D26" si="0">IF(B2="","",IF(B2="是",C2*200,IF(B2="否",C2*100,"")))</f>
        <v>1600</v>
      </c>
    </row>
    <row r="3" spans="1:4">
      <c r="A3" t="s">
        <v>230</v>
      </c>
      <c r="B3" t="s">
        <v>33</v>
      </c>
      <c r="C3">
        <v>0.5</v>
      </c>
      <c r="D3">
        <f t="shared" si="0"/>
        <v>50</v>
      </c>
    </row>
    <row r="4" spans="1:4">
      <c r="A4" t="s">
        <v>231</v>
      </c>
      <c r="B4" t="s">
        <v>33</v>
      </c>
      <c r="C4">
        <v>0.5</v>
      </c>
      <c r="D4">
        <f t="shared" si="0"/>
        <v>50</v>
      </c>
    </row>
    <row r="5" spans="1:4">
      <c r="A5" t="s">
        <v>232</v>
      </c>
      <c r="B5" t="s">
        <v>33</v>
      </c>
      <c r="C5">
        <v>0.5</v>
      </c>
      <c r="D5">
        <f t="shared" si="0"/>
        <v>50</v>
      </c>
    </row>
    <row r="6" spans="1:4">
      <c r="A6" t="s">
        <v>233</v>
      </c>
      <c r="B6" t="s">
        <v>33</v>
      </c>
      <c r="C6">
        <v>0.5</v>
      </c>
      <c r="D6">
        <f t="shared" si="0"/>
        <v>50</v>
      </c>
    </row>
    <row r="7" spans="1:4">
      <c r="A7" t="s">
        <v>234</v>
      </c>
      <c r="B7" t="s">
        <v>33</v>
      </c>
      <c r="C7">
        <v>3.5</v>
      </c>
      <c r="D7">
        <f t="shared" si="0"/>
        <v>350</v>
      </c>
    </row>
    <row r="8" spans="1:4">
      <c r="A8" t="s">
        <v>235</v>
      </c>
      <c r="B8" t="s">
        <v>24</v>
      </c>
      <c r="C8">
        <v>8</v>
      </c>
      <c r="D8">
        <f t="shared" si="0"/>
        <v>1600</v>
      </c>
    </row>
    <row r="9" spans="1:4">
      <c r="A9" t="s">
        <v>236</v>
      </c>
      <c r="B9" t="s">
        <v>33</v>
      </c>
      <c r="C9">
        <v>0.5</v>
      </c>
      <c r="D9">
        <f t="shared" si="0"/>
        <v>50</v>
      </c>
    </row>
    <row r="10" spans="1:4">
      <c r="A10" t="s">
        <v>237</v>
      </c>
      <c r="B10" t="s">
        <v>33</v>
      </c>
      <c r="C10">
        <v>0.5</v>
      </c>
      <c r="D10">
        <f t="shared" si="0"/>
        <v>50</v>
      </c>
    </row>
    <row r="11" spans="1:4">
      <c r="A11" t="s">
        <v>238</v>
      </c>
      <c r="B11" t="s">
        <v>33</v>
      </c>
      <c r="C11">
        <v>0.5</v>
      </c>
      <c r="D11">
        <f t="shared" si="0"/>
        <v>50</v>
      </c>
    </row>
    <row r="12" spans="1:4">
      <c r="A12" t="s">
        <v>239</v>
      </c>
      <c r="B12" t="s">
        <v>33</v>
      </c>
      <c r="C12">
        <v>0.5</v>
      </c>
      <c r="D12">
        <f t="shared" si="0"/>
        <v>50</v>
      </c>
    </row>
    <row r="13" spans="1:4">
      <c r="A13" t="s">
        <v>240</v>
      </c>
      <c r="B13" t="s">
        <v>33</v>
      </c>
      <c r="C13">
        <v>3.5</v>
      </c>
      <c r="D13">
        <f t="shared" si="0"/>
        <v>350</v>
      </c>
    </row>
    <row r="14" spans="1:4">
      <c r="A14" t="s">
        <v>241</v>
      </c>
      <c r="B14" t="s">
        <v>24</v>
      </c>
      <c r="C14">
        <v>8</v>
      </c>
      <c r="D14">
        <f t="shared" si="0"/>
        <v>1600</v>
      </c>
    </row>
    <row r="15" spans="1:4">
      <c r="A15" t="s">
        <v>242</v>
      </c>
      <c r="B15" t="s">
        <v>33</v>
      </c>
      <c r="C15">
        <v>0.5</v>
      </c>
      <c r="D15">
        <f t="shared" si="0"/>
        <v>50</v>
      </c>
    </row>
    <row r="16" spans="1:4">
      <c r="A16" t="s">
        <v>243</v>
      </c>
      <c r="B16" t="s">
        <v>33</v>
      </c>
      <c r="C16">
        <v>0.5</v>
      </c>
      <c r="D16">
        <f t="shared" si="0"/>
        <v>50</v>
      </c>
    </row>
    <row r="17" spans="1:4">
      <c r="A17" t="s">
        <v>244</v>
      </c>
      <c r="B17" t="s">
        <v>33</v>
      </c>
      <c r="C17">
        <v>0.5</v>
      </c>
      <c r="D17">
        <f t="shared" si="0"/>
        <v>50</v>
      </c>
    </row>
    <row r="18" spans="1:4">
      <c r="A18" t="s">
        <v>245</v>
      </c>
      <c r="B18" t="s">
        <v>33</v>
      </c>
      <c r="C18">
        <v>0.5</v>
      </c>
      <c r="D18">
        <f t="shared" si="0"/>
        <v>50</v>
      </c>
    </row>
    <row r="19" spans="1:4">
      <c r="A19" t="s">
        <v>246</v>
      </c>
      <c r="B19" t="s">
        <v>33</v>
      </c>
      <c r="C19">
        <v>3.5</v>
      </c>
      <c r="D19">
        <f t="shared" si="0"/>
        <v>350</v>
      </c>
    </row>
    <row r="20" spans="1:4">
      <c r="A20" t="s">
        <v>247</v>
      </c>
      <c r="B20" t="s">
        <v>24</v>
      </c>
      <c r="C20">
        <v>8</v>
      </c>
      <c r="D20">
        <f t="shared" si="0"/>
        <v>1600</v>
      </c>
    </row>
    <row r="21" spans="1:4">
      <c r="A21" t="s">
        <v>248</v>
      </c>
      <c r="B21" t="s">
        <v>33</v>
      </c>
      <c r="C21">
        <v>0.5</v>
      </c>
      <c r="D21">
        <f t="shared" si="0"/>
        <v>50</v>
      </c>
    </row>
    <row r="22" spans="1:4">
      <c r="A22" t="s">
        <v>249</v>
      </c>
      <c r="B22" t="s">
        <v>33</v>
      </c>
      <c r="C22">
        <v>0.5</v>
      </c>
      <c r="D22">
        <f t="shared" si="0"/>
        <v>50</v>
      </c>
    </row>
    <row r="23" spans="1:4">
      <c r="A23" t="s">
        <v>250</v>
      </c>
      <c r="B23" t="s">
        <v>33</v>
      </c>
      <c r="C23">
        <v>0.5</v>
      </c>
      <c r="D23">
        <f t="shared" si="0"/>
        <v>50</v>
      </c>
    </row>
    <row r="24" spans="1:4">
      <c r="A24" t="s">
        <v>251</v>
      </c>
      <c r="B24" t="s">
        <v>33</v>
      </c>
      <c r="C24">
        <v>0.5</v>
      </c>
      <c r="D24">
        <f t="shared" si="0"/>
        <v>50</v>
      </c>
    </row>
    <row r="25" spans="1:4">
      <c r="A25" t="s">
        <v>252</v>
      </c>
      <c r="B25" t="s">
        <v>33</v>
      </c>
      <c r="C25">
        <v>3.5</v>
      </c>
      <c r="D25">
        <f t="shared" si="0"/>
        <v>350</v>
      </c>
    </row>
    <row r="26" spans="1:4">
      <c r="A26" t="s">
        <v>253</v>
      </c>
      <c r="B26" t="s">
        <v>24</v>
      </c>
      <c r="C26">
        <v>8</v>
      </c>
      <c r="D26">
        <f t="shared" si="0"/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workbookViewId="0">
      <selection activeCell="A1" sqref="A1"/>
    </sheetView>
  </sheetViews>
  <sheetFormatPr defaultColWidth="9" defaultRowHeight="13.5" outlineLevelCol="3"/>
  <cols>
    <col min="1" max="1" width="12" customWidth="1"/>
    <col min="2" max="2" width="9" customWidth="1"/>
    <col min="3" max="3" width="10" customWidth="1"/>
    <col min="4" max="4" width="59" customWidth="1"/>
  </cols>
  <sheetData>
    <row r="1" spans="1:4">
      <c r="A1" s="1" t="s">
        <v>254</v>
      </c>
      <c r="B1" s="1" t="s">
        <v>20</v>
      </c>
      <c r="C1" s="1" t="s">
        <v>21</v>
      </c>
      <c r="D1" s="1" t="s">
        <v>22</v>
      </c>
    </row>
    <row r="2" spans="1:4">
      <c r="A2" t="s">
        <v>255</v>
      </c>
      <c r="B2" t="s">
        <v>33</v>
      </c>
      <c r="C2">
        <v>0.5</v>
      </c>
      <c r="D2">
        <f t="shared" ref="D2:D28" si="0">IF(B2="","",IF(B2="是",C2*200,IF(B2="否",C2*100,"")))</f>
        <v>50</v>
      </c>
    </row>
    <row r="3" spans="1:4">
      <c r="A3" t="s">
        <v>256</v>
      </c>
      <c r="B3" t="s">
        <v>33</v>
      </c>
      <c r="C3">
        <v>0.5</v>
      </c>
      <c r="D3">
        <f t="shared" si="0"/>
        <v>50</v>
      </c>
    </row>
    <row r="4" spans="1:4">
      <c r="A4" t="s">
        <v>257</v>
      </c>
      <c r="B4" t="s">
        <v>33</v>
      </c>
      <c r="C4">
        <v>0.5</v>
      </c>
      <c r="D4">
        <f t="shared" si="0"/>
        <v>50</v>
      </c>
    </row>
    <row r="5" spans="1:4">
      <c r="A5" t="s">
        <v>258</v>
      </c>
      <c r="B5" t="s">
        <v>33</v>
      </c>
      <c r="C5">
        <v>0.5</v>
      </c>
      <c r="D5">
        <f t="shared" si="0"/>
        <v>50</v>
      </c>
    </row>
    <row r="6" spans="1:4">
      <c r="A6" t="s">
        <v>259</v>
      </c>
      <c r="B6" t="s">
        <v>33</v>
      </c>
      <c r="C6">
        <v>3.5</v>
      </c>
      <c r="D6">
        <f t="shared" si="0"/>
        <v>350</v>
      </c>
    </row>
    <row r="7" spans="1:4">
      <c r="A7" t="s">
        <v>260</v>
      </c>
      <c r="B7" t="s">
        <v>24</v>
      </c>
      <c r="C7">
        <v>8</v>
      </c>
      <c r="D7">
        <f t="shared" si="0"/>
        <v>1600</v>
      </c>
    </row>
    <row r="8" spans="1:4">
      <c r="A8" t="s">
        <v>261</v>
      </c>
      <c r="B8" t="s">
        <v>33</v>
      </c>
      <c r="C8">
        <v>0.5</v>
      </c>
      <c r="D8">
        <f t="shared" si="0"/>
        <v>50</v>
      </c>
    </row>
    <row r="9" spans="1:4">
      <c r="A9" t="s">
        <v>262</v>
      </c>
      <c r="B9" t="s">
        <v>33</v>
      </c>
      <c r="C9">
        <v>0.5</v>
      </c>
      <c r="D9">
        <f t="shared" si="0"/>
        <v>50</v>
      </c>
    </row>
    <row r="10" spans="1:4">
      <c r="A10" t="s">
        <v>263</v>
      </c>
      <c r="B10" t="s">
        <v>33</v>
      </c>
      <c r="C10">
        <v>0.5</v>
      </c>
      <c r="D10">
        <f t="shared" si="0"/>
        <v>50</v>
      </c>
    </row>
    <row r="11" spans="1:4">
      <c r="A11" t="s">
        <v>264</v>
      </c>
      <c r="B11" t="s">
        <v>33</v>
      </c>
      <c r="C11">
        <v>0.5</v>
      </c>
      <c r="D11">
        <f t="shared" si="0"/>
        <v>50</v>
      </c>
    </row>
    <row r="12" spans="1:4">
      <c r="A12" t="s">
        <v>265</v>
      </c>
      <c r="B12" t="s">
        <v>33</v>
      </c>
      <c r="C12">
        <v>3.5</v>
      </c>
      <c r="D12">
        <f t="shared" si="0"/>
        <v>350</v>
      </c>
    </row>
    <row r="13" spans="1:4">
      <c r="A13" t="s">
        <v>266</v>
      </c>
      <c r="B13" t="s">
        <v>24</v>
      </c>
      <c r="C13">
        <v>8</v>
      </c>
      <c r="D13">
        <f t="shared" si="0"/>
        <v>1600</v>
      </c>
    </row>
    <row r="14" spans="1:4">
      <c r="A14" t="s">
        <v>267</v>
      </c>
      <c r="B14" t="s">
        <v>33</v>
      </c>
      <c r="C14">
        <v>0.5</v>
      </c>
      <c r="D14">
        <f t="shared" si="0"/>
        <v>50</v>
      </c>
    </row>
    <row r="15" spans="1:4">
      <c r="A15" t="s">
        <v>268</v>
      </c>
      <c r="B15" t="s">
        <v>33</v>
      </c>
      <c r="C15">
        <v>0.5</v>
      </c>
      <c r="D15">
        <f t="shared" si="0"/>
        <v>50</v>
      </c>
    </row>
    <row r="16" spans="1:4">
      <c r="A16" t="s">
        <v>269</v>
      </c>
      <c r="B16" t="s">
        <v>33</v>
      </c>
      <c r="C16">
        <v>0.5</v>
      </c>
      <c r="D16">
        <f t="shared" si="0"/>
        <v>50</v>
      </c>
    </row>
    <row r="17" spans="1:4">
      <c r="A17" t="s">
        <v>270</v>
      </c>
      <c r="B17" t="s">
        <v>33</v>
      </c>
      <c r="C17">
        <v>0.5</v>
      </c>
      <c r="D17">
        <f t="shared" si="0"/>
        <v>50</v>
      </c>
    </row>
    <row r="18" spans="1:4">
      <c r="A18" t="s">
        <v>271</v>
      </c>
      <c r="B18" t="s">
        <v>33</v>
      </c>
      <c r="C18">
        <v>3.5</v>
      </c>
      <c r="D18">
        <f t="shared" si="0"/>
        <v>350</v>
      </c>
    </row>
    <row r="19" spans="1:4">
      <c r="A19" t="s">
        <v>272</v>
      </c>
      <c r="B19" t="s">
        <v>24</v>
      </c>
      <c r="C19">
        <v>8</v>
      </c>
      <c r="D19">
        <f t="shared" si="0"/>
        <v>1600</v>
      </c>
    </row>
    <row r="20" spans="1:4">
      <c r="A20" t="s">
        <v>273</v>
      </c>
      <c r="B20" t="s">
        <v>33</v>
      </c>
      <c r="C20">
        <v>0.5</v>
      </c>
      <c r="D20">
        <f t="shared" si="0"/>
        <v>50</v>
      </c>
    </row>
    <row r="21" spans="1:4">
      <c r="A21" t="s">
        <v>274</v>
      </c>
      <c r="B21" t="s">
        <v>33</v>
      </c>
      <c r="C21">
        <v>0.5</v>
      </c>
      <c r="D21">
        <f t="shared" si="0"/>
        <v>50</v>
      </c>
    </row>
    <row r="22" spans="1:4">
      <c r="A22" t="s">
        <v>275</v>
      </c>
      <c r="B22" t="s">
        <v>33</v>
      </c>
      <c r="C22">
        <v>0.5</v>
      </c>
      <c r="D22">
        <f t="shared" si="0"/>
        <v>50</v>
      </c>
    </row>
    <row r="23" spans="1:4">
      <c r="A23" t="s">
        <v>276</v>
      </c>
      <c r="B23" t="s">
        <v>33</v>
      </c>
      <c r="C23">
        <v>0.5</v>
      </c>
      <c r="D23">
        <f t="shared" si="0"/>
        <v>50</v>
      </c>
    </row>
    <row r="24" spans="1:4">
      <c r="A24" t="s">
        <v>277</v>
      </c>
      <c r="B24" t="s">
        <v>33</v>
      </c>
      <c r="C24">
        <v>3.5</v>
      </c>
      <c r="D24">
        <f t="shared" si="0"/>
        <v>350</v>
      </c>
    </row>
    <row r="25" spans="1:4">
      <c r="A25" t="s">
        <v>278</v>
      </c>
      <c r="B25" t="s">
        <v>24</v>
      </c>
      <c r="C25">
        <v>8</v>
      </c>
      <c r="D25">
        <f t="shared" si="0"/>
        <v>1600</v>
      </c>
    </row>
    <row r="26" spans="1:4">
      <c r="A26" t="s">
        <v>279</v>
      </c>
      <c r="B26" t="s">
        <v>33</v>
      </c>
      <c r="C26">
        <v>0.5</v>
      </c>
      <c r="D26">
        <f t="shared" si="0"/>
        <v>50</v>
      </c>
    </row>
    <row r="27" spans="1:4">
      <c r="A27" t="s">
        <v>280</v>
      </c>
      <c r="B27" t="s">
        <v>33</v>
      </c>
      <c r="C27">
        <v>0.5</v>
      </c>
      <c r="D27">
        <f t="shared" si="0"/>
        <v>50</v>
      </c>
    </row>
    <row r="28" spans="1:4">
      <c r="A28" t="s">
        <v>281</v>
      </c>
      <c r="B28" t="s">
        <v>33</v>
      </c>
      <c r="C28">
        <v>0.5</v>
      </c>
      <c r="D28">
        <f t="shared" si="0"/>
        <v>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封面</vt:lpstr>
      <vt:lpstr>1月</vt:lpstr>
      <vt:lpstr>2月</vt:lpstr>
      <vt:lpstr>3月</vt:lpstr>
      <vt:lpstr>4月</vt:lpstr>
      <vt:lpstr>5月</vt:lpstr>
      <vt:lpstr>6月</vt:lpstr>
      <vt:lpstr>7月</vt:lpstr>
      <vt:lpstr>8月</vt:lpstr>
      <vt:lpstr>9月</vt:lpstr>
      <vt:lpstr>10月</vt:lpstr>
      <vt:lpstr>11月</vt:lpstr>
      <vt:lpstr>12月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亲亲土豆</cp:lastModifiedBy>
  <dcterms:created xsi:type="dcterms:W3CDTF">2026-03-04T06:25:00Z</dcterms:created>
  <dcterms:modified xsi:type="dcterms:W3CDTF">2026-03-05T08:09:30Z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AF03EE58B2574857B9A70EC787F83B07_12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