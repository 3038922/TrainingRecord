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esp\Desktop\usercode\TrainingRecord\"/>
    </mc:Choice>
  </mc:AlternateContent>
  <xr:revisionPtr revIDLastSave="0" documentId="13_ncr:1_{0C841C84-A378-40A1-8310-CF346542CA5E}" xr6:coauthVersionLast="47" xr6:coauthVersionMax="47" xr10:uidLastSave="{00000000-0000-0000-0000-000000000000}"/>
  <bookViews>
    <workbookView xWindow="25500" yWindow="21600" windowWidth="25800" windowHeight="20985" activeTab="3" xr2:uid="{00000000-000D-0000-FFFF-FFFF00000000}"/>
  </bookViews>
  <sheets>
    <sheet name="封面" sheetId="1" r:id="rId1"/>
    <sheet name="1月" sheetId="2" r:id="rId2"/>
    <sheet name="2月" sheetId="3" r:id="rId3"/>
    <sheet name="3月" sheetId="4" r:id="rId4"/>
    <sheet name="4月" sheetId="5" r:id="rId5"/>
    <sheet name="5月" sheetId="6" r:id="rId6"/>
    <sheet name="6月" sheetId="7" r:id="rId7"/>
    <sheet name="7月" sheetId="8" r:id="rId8"/>
    <sheet name="8月" sheetId="9" r:id="rId9"/>
    <sheet name="9月" sheetId="10" r:id="rId10"/>
    <sheet name="10月" sheetId="11" r:id="rId11"/>
    <sheet name="11月" sheetId="12" r:id="rId12"/>
    <sheet name="12月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3" l="1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13" i="1"/>
  <c r="E13" i="1" s="1"/>
  <c r="B13" i="1"/>
  <c r="D13" i="1" s="1"/>
  <c r="F13" i="1" s="1"/>
  <c r="E12" i="1"/>
  <c r="C12" i="1"/>
  <c r="B12" i="1"/>
  <c r="D12" i="1" s="1"/>
  <c r="F12" i="1" s="1"/>
  <c r="C11" i="1"/>
  <c r="E11" i="1" s="1"/>
  <c r="B11" i="1"/>
  <c r="D11" i="1" s="1"/>
  <c r="E10" i="1"/>
  <c r="C10" i="1"/>
  <c r="B10" i="1"/>
  <c r="D10" i="1" s="1"/>
  <c r="F10" i="1" s="1"/>
  <c r="C9" i="1"/>
  <c r="E9" i="1" s="1"/>
  <c r="B9" i="1"/>
  <c r="D9" i="1" s="1"/>
  <c r="F9" i="1" s="1"/>
  <c r="D8" i="1"/>
  <c r="C8" i="1"/>
  <c r="E8" i="1" s="1"/>
  <c r="B8" i="1"/>
  <c r="C7" i="1"/>
  <c r="E7" i="1" s="1"/>
  <c r="B7" i="1"/>
  <c r="D7" i="1" s="1"/>
  <c r="F7" i="1" s="1"/>
  <c r="C6" i="1"/>
  <c r="E6" i="1" s="1"/>
  <c r="B6" i="1"/>
  <c r="D6" i="1" s="1"/>
  <c r="E5" i="1"/>
  <c r="C5" i="1"/>
  <c r="B5" i="1"/>
  <c r="D5" i="1" s="1"/>
  <c r="F5" i="1" s="1"/>
  <c r="C4" i="1"/>
  <c r="E4" i="1" s="1"/>
  <c r="B4" i="1"/>
  <c r="D4" i="1" s="1"/>
  <c r="C3" i="1"/>
  <c r="E3" i="1" s="1"/>
  <c r="B3" i="1"/>
  <c r="D3" i="1" s="1"/>
  <c r="C2" i="1"/>
  <c r="E2" i="1" s="1"/>
  <c r="B2" i="1"/>
  <c r="F6" i="1" l="1"/>
  <c r="F11" i="1"/>
  <c r="F3" i="1"/>
  <c r="B14" i="1"/>
  <c r="D2" i="1"/>
  <c r="D14" i="1" s="1"/>
  <c r="F8" i="1"/>
  <c r="E14" i="1"/>
  <c r="F4" i="1"/>
  <c r="C14" i="1"/>
  <c r="F2" i="1" l="1"/>
  <c r="F14" i="1" s="1"/>
</calcChain>
</file>

<file path=xl/sharedStrings.xml><?xml version="1.0" encoding="utf-8"?>
<sst xmlns="http://schemas.openxmlformats.org/spreadsheetml/2006/main" count="659" uniqueCount="332">
  <si>
    <t>月份</t>
  </si>
  <si>
    <t>工作日训练时长</t>
  </si>
  <si>
    <t>节假日训练时长</t>
  </si>
  <si>
    <t>工作日金额（x100）</t>
  </si>
  <si>
    <t>节假日金额（x200）</t>
  </si>
  <si>
    <t>总金额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</si>
  <si>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</si>
  <si>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</si>
  <si>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</si>
  <si>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</si>
  <si>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</si>
  <si>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</si>
  <si>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</si>
  <si>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</si>
  <si>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</si>
  <si>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</si>
  <si>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</si>
  <si>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</si>
  <si>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</si>
  <si>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1月训练日期</t>
  </si>
  <si>
    <t>是否法定节假日</t>
  </si>
  <si>
    <t>训练时长（小时）</t>
  </si>
  <si>
    <t>金额</t>
  </si>
  <si>
    <t>2026-01-01</t>
  </si>
  <si>
    <t>是</t>
  </si>
  <si>
    <t>2026-01-02</t>
  </si>
  <si>
    <t>否</t>
  </si>
  <si>
    <t>2026-01-05</t>
  </si>
  <si>
    <t>2026-01-06</t>
  </si>
  <si>
    <t>2026-01-07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</si>
  <si>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</si>
  <si>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</si>
  <si>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</si>
  <si>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</si>
  <si>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</si>
  <si>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</si>
  <si>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</si>
  <si>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</si>
  <si>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</si>
  <si>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2026-01-29</t>
  </si>
  <si>
    <t>2026-01-30</t>
  </si>
  <si>
    <t>2026-01-31</t>
  </si>
  <si>
    <t>2月训练日期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</si>
  <si>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</si>
  <si>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</si>
  <si>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</si>
  <si>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</si>
  <si>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</si>
  <si>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</si>
  <si>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</si>
  <si>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</si>
  <si>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</si>
  <si>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</si>
  <si>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</si>
  <si>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2026-02-23</t>
  </si>
  <si>
    <t>2026-02-24</t>
  </si>
  <si>
    <t>2026-02-25</t>
  </si>
  <si>
    <t>2026-02-26</t>
  </si>
  <si>
    <t>2026-02-27</t>
  </si>
  <si>
    <t>2026-02-28</t>
  </si>
  <si>
    <t>3月训练日期</t>
  </si>
  <si>
    <t>2026-03-02</t>
  </si>
  <si>
    <t>2026-03-03</t>
  </si>
  <si>
    <t>2026-03-04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</si>
  <si>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</si>
  <si>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</si>
  <si>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</si>
  <si>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</si>
  <si>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</si>
  <si>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</si>
  <si>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</si>
  <si>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</si>
  <si>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</si>
  <si>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</si>
  <si>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</si>
  <si>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</si>
  <si>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</si>
  <si>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</si>
  <si>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</si>
  <si>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</si>
  <si>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</si>
  <si>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</si>
  <si>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</si>
  <si>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</si>
  <si>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</si>
  <si>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</si>
  <si>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</si>
  <si>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4月训练日期</t>
  </si>
  <si>
    <t>2026-04-01</t>
  </si>
  <si>
    <t>2026-04-02</t>
  </si>
  <si>
    <t>2026-04-03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</si>
  <si>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</si>
  <si>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</si>
  <si>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</si>
  <si>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</si>
  <si>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</si>
  <si>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</si>
  <si>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</si>
  <si>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</si>
  <si>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</si>
  <si>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</si>
  <si>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</si>
  <si>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</si>
  <si>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</si>
  <si>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</si>
  <si>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</si>
  <si>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</si>
  <si>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</si>
  <si>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</si>
  <si>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</si>
  <si>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</si>
  <si>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</si>
  <si>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</si>
  <si>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2026-04-30</t>
  </si>
  <si>
    <t>5月训练日期</t>
  </si>
  <si>
    <t>2026-05-01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</si>
  <si>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</si>
  <si>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</si>
  <si>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</si>
  <si>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</si>
  <si>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</si>
  <si>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</si>
  <si>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</si>
  <si>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</si>
  <si>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</si>
  <si>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</si>
  <si>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</si>
  <si>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</si>
  <si>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</si>
  <si>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</si>
  <si>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</si>
  <si>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</si>
  <si>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</si>
  <si>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</si>
  <si>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</si>
  <si>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</si>
  <si>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</si>
  <si>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</si>
  <si>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</si>
  <si>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</si>
  <si>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</si>
  <si>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6月训练日期</t>
  </si>
  <si>
    <t>2026-06-01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</si>
  <si>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</si>
  <si>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</si>
  <si>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</si>
  <si>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</si>
  <si>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</si>
  <si>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</si>
  <si>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</si>
  <si>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</si>
  <si>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</si>
  <si>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</si>
  <si>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</si>
  <si>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</si>
  <si>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</si>
  <si>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</si>
  <si>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</si>
  <si>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</si>
  <si>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</si>
  <si>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</si>
  <si>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</si>
  <si>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</si>
  <si>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</si>
  <si>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</si>
  <si>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</si>
  <si>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</si>
  <si>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2026-06-30</t>
  </si>
  <si>
    <t>7月训练日期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</si>
  <si>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</si>
  <si>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</si>
  <si>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</si>
  <si>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</si>
  <si>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</si>
  <si>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</si>
  <si>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</si>
  <si>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</si>
  <si>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</si>
  <si>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</si>
  <si>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</si>
  <si>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</si>
  <si>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</si>
  <si>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</si>
  <si>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</si>
  <si>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</si>
  <si>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</si>
  <si>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</si>
  <si>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</si>
  <si>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</si>
  <si>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</si>
  <si>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</si>
  <si>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</si>
  <si>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</si>
  <si>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</si>
  <si>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</si>
  <si>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</si>
  <si>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8月训练日期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</si>
  <si>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</si>
  <si>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</si>
  <si>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</si>
  <si>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</si>
  <si>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</si>
  <si>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</si>
  <si>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</si>
  <si>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</si>
  <si>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</si>
  <si>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</si>
  <si>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</si>
  <si>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2026-08-14</t>
  </si>
  <si>
    <t>2026-08-15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</si>
  <si>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</si>
  <si>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</si>
  <si>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</si>
  <si>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</si>
  <si>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</si>
  <si>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</si>
  <si>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</si>
  <si>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</si>
  <si>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</si>
  <si>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</si>
  <si>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</si>
  <si>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</si>
  <si>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</si>
  <si>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9月训练日期</t>
  </si>
  <si>
    <t>2026-09-01</t>
  </si>
  <si>
    <t>2026-09-02</t>
  </si>
  <si>
    <t>2026-09-03</t>
  </si>
  <si>
    <t>2026-09-04</t>
  </si>
  <si>
    <t>2026-09-05</t>
  </si>
  <si>
    <t>2026-09-07</t>
  </si>
  <si>
    <t>2026-09-08</t>
  </si>
  <si>
    <t>2026-09-09</t>
  </si>
  <si>
    <t>2026-09-10</t>
  </si>
  <si>
    <t>2026-09-11</t>
  </si>
  <si>
    <t>2026-09-12</t>
  </si>
  <si>
    <t>2026-09-14</t>
  </si>
  <si>
    <t>2026-09-15</t>
  </si>
  <si>
    <t>2026-09-16</t>
  </si>
  <si>
    <t>2026-09-17</t>
  </si>
  <si>
    <t>2026-09-18</t>
  </si>
  <si>
    <t>2026-09-19</t>
  </si>
  <si>
    <t>2026-09-21</t>
  </si>
  <si>
    <t>2026-09-22</t>
  </si>
  <si>
    <t>2026-09-23</t>
  </si>
  <si>
    <t>2026-09-24</t>
  </si>
  <si>
    <t>2026-09-25</t>
  </si>
  <si>
    <t>2026-09-26</t>
  </si>
  <si>
    <t>2026-09-28</t>
  </si>
  <si>
    <t>2026-09-29</t>
  </si>
  <si>
    <t>2026-09-30</t>
  </si>
  <si>
    <t>10月训练日期</t>
  </si>
  <si>
    <t>2026-10-01</t>
  </si>
  <si>
    <t>2026-10-02</t>
  </si>
  <si>
    <t>2026-10-03</t>
  </si>
  <si>
    <t>2026-10-05</t>
  </si>
  <si>
    <t>2026-10-06</t>
  </si>
  <si>
    <t>2026-10-07</t>
  </si>
  <si>
    <t>2026-10-08</t>
  </si>
  <si>
    <t>2026-10-09</t>
  </si>
  <si>
    <t>2026-10-10</t>
  </si>
  <si>
    <t>2026-10-12</t>
  </si>
  <si>
    <t>2026-10-13</t>
  </si>
  <si>
    <t>2026-10-14</t>
  </si>
  <si>
    <t>2026-10-15</t>
  </si>
  <si>
    <t>2026-10-16</t>
  </si>
  <si>
    <t>2026-10-17</t>
  </si>
  <si>
    <t>2026-10-19</t>
  </si>
  <si>
    <t>2026-10-20</t>
  </si>
  <si>
    <t>2026-10-21</t>
  </si>
  <si>
    <t>2026-10-22</t>
  </si>
  <si>
    <t>2026-10-23</t>
  </si>
  <si>
    <t>2026-10-24</t>
  </si>
  <si>
    <t>2026-10-26</t>
  </si>
  <si>
    <t>2026-10-27</t>
  </si>
  <si>
    <t>2026-10-28</t>
  </si>
  <si>
    <t>2026-10-29</t>
  </si>
  <si>
    <t>2026-10-30</t>
  </si>
  <si>
    <t>2026-10-31</t>
  </si>
  <si>
    <t>11月训练日期</t>
  </si>
  <si>
    <t>2026-11-02</t>
  </si>
  <si>
    <t>2026-11-03</t>
  </si>
  <si>
    <t>2026-11-04</t>
  </si>
  <si>
    <t>2026-11-05</t>
  </si>
  <si>
    <t>2026-11-06</t>
  </si>
  <si>
    <t>2026-11-07</t>
  </si>
  <si>
    <t>2026-11-09</t>
  </si>
  <si>
    <t>2026-11-10</t>
  </si>
  <si>
    <t>2026-11-11</t>
  </si>
  <si>
    <t>2026-11-12</t>
  </si>
  <si>
    <t>2026-11-13</t>
  </si>
  <si>
    <t>2026-11-14</t>
  </si>
  <si>
    <t>2026-11-16</t>
  </si>
  <si>
    <t>2026-11-17</t>
  </si>
  <si>
    <t>2026-11-18</t>
  </si>
  <si>
    <t>2026-11-19</t>
  </si>
  <si>
    <t>2026-11-20</t>
  </si>
  <si>
    <t>2026-11-21</t>
  </si>
  <si>
    <t>2026-11-23</t>
  </si>
  <si>
    <t>2026-11-24</t>
  </si>
  <si>
    <t>2026-11-25</t>
  </si>
  <si>
    <t>2026-11-26</t>
  </si>
  <si>
    <t>2026-11-27</t>
  </si>
  <si>
    <t>2026-11-28</t>
  </si>
  <si>
    <t>2026-11-30</t>
  </si>
  <si>
    <t>12月训练日期</t>
  </si>
  <si>
    <t>2026-12-01</t>
  </si>
  <si>
    <t>2026-12-02</t>
  </si>
  <si>
    <t>2026-12-03</t>
  </si>
  <si>
    <t>2026-12-04</t>
  </si>
  <si>
    <t>2026-12-05</t>
  </si>
  <si>
    <t>2026-12-07</t>
  </si>
  <si>
    <t>2026-12-08</t>
  </si>
  <si>
    <t>2026-12-09</t>
  </si>
  <si>
    <t>2026-12-10</t>
  </si>
  <si>
    <t>2026-12-11</t>
  </si>
  <si>
    <t>2026-12-12</t>
  </si>
  <si>
    <t>2026-12-14</t>
  </si>
  <si>
    <t>2026-12-15</t>
  </si>
  <si>
    <t>2026-12-16</t>
  </si>
  <si>
    <t>2026-12-17</t>
  </si>
  <si>
    <t>2026-12-18</t>
  </si>
  <si>
    <t>2026-12-19</t>
  </si>
  <si>
    <t>2026-12-21</t>
  </si>
  <si>
    <t>2026-12-22</t>
  </si>
  <si>
    <t>2026-12-23</t>
  </si>
  <si>
    <t>2026-12-24</t>
  </si>
  <si>
    <t>2026-12-25</t>
  </si>
  <si>
    <t>2026-12-26</t>
  </si>
  <si>
    <t>2026-12-28</t>
  </si>
  <si>
    <t>2026-12-29</t>
  </si>
  <si>
    <t>2026-12-30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</si>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</sst>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I13" sqref="I13"/>
    </sheetView>
  </sheetViews>
  <sheetFormatPr defaultRowHeight="13.5" x14ac:dyDescent="0.15"/>
  <cols>
    <col min="1" max="1" width="5.75" bestFit="1" customWidth="1"/>
    <col min="2" max="3" width="16.375" bestFit="1" customWidth="1"/>
    <col min="4" max="5" width="21.375" bestFit="1" customWidth="1"/>
    <col min="6" max="6" width="7.7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f>SUMIFS('1月'!C:C,'1月'!B:B,"否")</f>
        <v>12</v>
      </c>
      <c r="C2">
        <f>SUMIFS('1月'!C:C,'1月'!B:B,"是")</f>
        <v>56</v>
      </c>
      <c r="D2">
        <f t="shared" ref="D2:D13" si="0">B2*100</f>
        <v>1200</v>
      </c>
      <c r="E2">
        <f t="shared" ref="E2:E13" si="1">C2*200</f>
        <v>11200</v>
      </c>
      <c r="F2">
        <f t="shared" ref="F2:F13" si="2">D2+E2</f>
        <v>12400</v>
      </c>
    </row>
    <row r="3" spans="1:6" x14ac:dyDescent="0.15">
      <c r="A3" t="s">
        <v>7</v>
      </c>
      <c r="B3">
        <f>SUMIFS('2月'!C:C,'2月'!B:B,"否")</f>
        <v>0</v>
      </c>
      <c r="C3">
        <f>SUMIFS('2月'!C:C,'2月'!B:B,"是")</f>
        <v>136</v>
      </c>
      <c r="D3">
        <f t="shared" si="0"/>
        <v>0</v>
      </c>
      <c r="E3">
        <f t="shared" si="1"/>
        <v>27200</v>
      </c>
      <c r="F3">
        <f t="shared" si="2"/>
        <v>27200</v>
      </c>
    </row>
    <row r="4" spans="1:6" x14ac:dyDescent="0.15">
      <c r="A4" t="s">
        <v>8</v>
      </c>
      <c r="B4">
        <f>SUMIFS('3月'!C:C,'3月'!B:B,"否")</f>
        <v>25</v>
      </c>
      <c r="C4">
        <f>SUMIFS('3月'!C:C,'3月'!B:B,"是")</f>
        <v>32</v>
      </c>
      <c r="D4">
        <f t="shared" si="0"/>
        <v>2500</v>
      </c>
      <c r="E4">
        <f t="shared" si="1"/>
        <v>6400</v>
      </c>
      <c r="F4">
        <f t="shared" si="2"/>
        <v>8900</v>
      </c>
    </row>
    <row r="5" spans="1:6" x14ac:dyDescent="0.15">
      <c r="A5" t="s">
        <v>9</v>
      </c>
      <c r="B5">
        <f>SUMIFS('4月'!C:C,'4月'!B:B,"否")</f>
        <v>25</v>
      </c>
      <c r="C5">
        <f>SUMIFS('4月'!C:C,'4月'!B:B,"是")</f>
        <v>32</v>
      </c>
      <c r="D5">
        <f t="shared" si="0"/>
        <v>2500</v>
      </c>
      <c r="E5">
        <f t="shared" si="1"/>
        <v>6400</v>
      </c>
      <c r="F5">
        <f t="shared" si="2"/>
        <v>8900</v>
      </c>
    </row>
    <row r="6" spans="1:6" x14ac:dyDescent="0.15">
      <c r="A6" t="s">
        <v>10</v>
      </c>
      <c r="B6">
        <f>SUMIFS('5月'!C:C,'5月'!B:B,"否")</f>
        <v>22</v>
      </c>
      <c r="C6">
        <f>SUMIFS('5月'!C:C,'5月'!B:B,"是")</f>
        <v>80</v>
      </c>
      <c r="D6">
        <f t="shared" si="0"/>
        <v>2200</v>
      </c>
      <c r="E6">
        <f t="shared" si="1"/>
        <v>16000</v>
      </c>
      <c r="F6">
        <f t="shared" si="2"/>
        <v>18200</v>
      </c>
    </row>
    <row r="7" spans="1:6" x14ac:dyDescent="0.15">
      <c r="A7" t="s">
        <v>11</v>
      </c>
      <c r="B7">
        <f>SUMIFS('6月'!C:C,'6月'!B:B,"否")</f>
        <v>25</v>
      </c>
      <c r="C7">
        <f>SUMIFS('6月'!C:C,'6月'!B:B,"是")</f>
        <v>32</v>
      </c>
      <c r="D7">
        <f t="shared" si="0"/>
        <v>2500</v>
      </c>
      <c r="E7">
        <f t="shared" si="1"/>
        <v>6400</v>
      </c>
      <c r="F7">
        <f t="shared" si="2"/>
        <v>8900</v>
      </c>
    </row>
    <row r="8" spans="1:6" x14ac:dyDescent="0.15">
      <c r="A8" t="s">
        <v>12</v>
      </c>
      <c r="B8">
        <f>SUMIFS('7月'!C:C,'7月'!B:B,"否")</f>
        <v>0</v>
      </c>
      <c r="C8">
        <f>SUMIFS('7月'!C:C,'7月'!B:B,"是")</f>
        <v>216</v>
      </c>
      <c r="D8">
        <f t="shared" si="0"/>
        <v>0</v>
      </c>
      <c r="E8">
        <f t="shared" si="1"/>
        <v>43200</v>
      </c>
      <c r="F8">
        <f t="shared" si="2"/>
        <v>43200</v>
      </c>
    </row>
    <row r="9" spans="1:6" x14ac:dyDescent="0.15">
      <c r="A9" t="s">
        <v>13</v>
      </c>
      <c r="B9">
        <f>SUMIFS('8月'!C:C,'8月'!B:B,"否")</f>
        <v>0</v>
      </c>
      <c r="C9">
        <f>SUMIFS('8月'!C:C,'8月'!B:B,"是")</f>
        <v>208</v>
      </c>
      <c r="D9">
        <f t="shared" si="0"/>
        <v>0</v>
      </c>
      <c r="E9">
        <f t="shared" si="1"/>
        <v>41600</v>
      </c>
      <c r="F9">
        <f t="shared" si="2"/>
        <v>41600</v>
      </c>
    </row>
    <row r="10" spans="1:6" x14ac:dyDescent="0.15">
      <c r="A10" t="s">
        <v>14</v>
      </c>
      <c r="B10">
        <f>SUMIFS('9月'!C:C,'9月'!B:B,"否")</f>
        <v>25</v>
      </c>
      <c r="C10">
        <f>SUMIFS('9月'!C:C,'9月'!B:B,"是")</f>
        <v>32</v>
      </c>
      <c r="D10">
        <f t="shared" si="0"/>
        <v>2500</v>
      </c>
      <c r="E10">
        <f t="shared" si="1"/>
        <v>6400</v>
      </c>
      <c r="F10">
        <f t="shared" si="2"/>
        <v>8900</v>
      </c>
    </row>
    <row r="11" spans="1:6" x14ac:dyDescent="0.15">
      <c r="A11" t="s">
        <v>15</v>
      </c>
      <c r="B11">
        <f>SUMIFS('10月'!C:C,'10月'!B:B,"否")</f>
        <v>22.5</v>
      </c>
      <c r="C11">
        <f>SUMIFS('10月'!C:C,'10月'!B:B,"是")</f>
        <v>80</v>
      </c>
      <c r="D11">
        <f t="shared" si="0"/>
        <v>2250</v>
      </c>
      <c r="E11">
        <f t="shared" si="1"/>
        <v>16000</v>
      </c>
      <c r="F11">
        <f t="shared" si="2"/>
        <v>18250</v>
      </c>
    </row>
    <row r="12" spans="1:6" x14ac:dyDescent="0.15">
      <c r="A12" t="s">
        <v>16</v>
      </c>
      <c r="B12">
        <f>SUMIFS('11月'!C:C,'11月'!B:B,"否")</f>
        <v>24.5</v>
      </c>
      <c r="C12">
        <f>SUMIFS('11月'!C:C,'11月'!B:B,"是")</f>
        <v>32</v>
      </c>
      <c r="D12">
        <f t="shared" si="0"/>
        <v>2450</v>
      </c>
      <c r="E12">
        <f t="shared" si="1"/>
        <v>6400</v>
      </c>
      <c r="F12">
        <f t="shared" si="2"/>
        <v>8850</v>
      </c>
    </row>
    <row r="13" spans="1:6" x14ac:dyDescent="0.15">
      <c r="A13" t="s">
        <v>17</v>
      </c>
      <c r="B13">
        <f>SUMIFS('12月'!C:C,'12月'!B:B,"否")</f>
        <v>25.5</v>
      </c>
      <c r="C13">
        <f>SUMIFS('12月'!C:C,'12月'!B:B,"是")</f>
        <v>32</v>
      </c>
      <c r="D13">
        <f t="shared" si="0"/>
        <v>2550</v>
      </c>
      <c r="E13">
        <f t="shared" si="1"/>
        <v>6400</v>
      </c>
      <c r="F13">
        <f t="shared" si="2"/>
        <v>8950</v>
      </c>
    </row>
    <row r="14" spans="1:6" x14ac:dyDescent="0.15">
      <c r="A14" t="s">
        <v>18</v>
      </c>
      <c r="B14">
        <f>SUM(B2:B13)</f>
        <v>206.5</v>
      </c>
      <c r="C14">
        <f>SUM(C2:C13)</f>
        <v>968</v>
      </c>
      <c r="D14">
        <f>SUM(D2:D13)</f>
        <v>20650</v>
      </c>
      <c r="E14">
        <f>SUM(E2:E13)</f>
        <v>193600</v>
      </c>
      <c r="F14">
        <f>SUM(F2:F13)</f>
        <v>214250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K11" sqref="K11"/>
    </sheetView>
  </sheetViews>
  <sheetFormatPr defaultRowHeight="13.5" x14ac:dyDescent="0.15"/>
  <cols>
    <col min="1" max="1" width="13.125" bestFit="1" customWidth="1"/>
    <col min="2" max="2" width="16.375" bestFit="1" customWidth="1"/>
    <col min="3" max="3" width="18.625" bestFit="1" customWidth="1"/>
    <col min="4" max="4" width="5.75" bestFit="1" customWidth="1"/>
  </cols>
  <sheetData>
    <row r="1" spans="1:4" x14ac:dyDescent="0.1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23</v>
      </c>
      <c r="B2" t="s">
        <v>24</v>
      </c>
      <c r="C2">
        <v>8</v>
      </c>
      <c r="D2">
        <f t="shared" ref="D2:D18" si="0">IF(B2="","",IF(B2="是",C2*200,IF(B2="否",C2*100,"")))</f>
        <v>1600</v>
      </c>
    </row>
    <row r="3" spans="1:4" x14ac:dyDescent="0.15">
      <c r="A3" t="s">
        <v>25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27</v>
      </c>
      <c r="B4" t="s">
        <v>26</v>
      </c>
      <c r="C4">
        <v>0.5</v>
      </c>
      <c r="D4">
        <f t="shared" si="0"/>
        <v>50</v>
      </c>
    </row>
    <row r="5" spans="1:4" x14ac:dyDescent="0.15">
      <c r="A5" t="s">
        <v>28</v>
      </c>
      <c r="B5" t="s">
        <v>26</v>
      </c>
      <c r="C5">
        <v>0.5</v>
      </c>
      <c r="D5">
        <f t="shared" si="0"/>
        <v>50</v>
      </c>
    </row>
    <row r="6" spans="1:4" x14ac:dyDescent="0.15">
      <c r="A6" t="s">
        <v>29</v>
      </c>
      <c r="B6" t="s">
        <v>26</v>
      </c>
      <c r="C6">
        <v>0.5</v>
      </c>
      <c r="D6">
        <f t="shared" si="0"/>
        <v>50</v>
      </c>
    </row>
    <row r="7" spans="1:4" x14ac:dyDescent="0.15">
      <c r="A7" t="s">
        <v>30</v>
      </c>
      <c r="B7" t="s">
        <v>26</v>
      </c>
      <c r="C7">
        <v>0.5</v>
      </c>
      <c r="D7">
        <f t="shared" si="0"/>
        <v>50</v>
      </c>
    </row>
    <row r="8" spans="1:4" x14ac:dyDescent="0.15">
      <c r="A8" t="s">
        <v>31</v>
      </c>
      <c r="B8" t="s">
        <v>26</v>
      </c>
      <c r="C8">
        <v>4</v>
      </c>
      <c r="D8">
        <f t="shared" si="0"/>
        <v>400</v>
      </c>
    </row>
    <row r="9" spans="1:4" x14ac:dyDescent="0.15">
      <c r="A9" t="s">
        <v>32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33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34</v>
      </c>
      <c r="B11" t="s">
        <v>26</v>
      </c>
      <c r="C11">
        <v>0.5</v>
      </c>
      <c r="D11">
        <f t="shared" si="0"/>
        <v>50</v>
      </c>
    </row>
    <row r="12" spans="1:4" x14ac:dyDescent="0.15">
      <c r="A12" t="s">
        <v>35</v>
      </c>
      <c r="B12" t="s">
        <v>26</v>
      </c>
      <c r="C12">
        <v>0.5</v>
      </c>
      <c r="D12">
        <f t="shared" si="0"/>
        <v>50</v>
      </c>
    </row>
    <row r="13" spans="1:4" x14ac:dyDescent="0.15">
      <c r="A13" t="s">
        <v>36</v>
      </c>
      <c r="B13" t="s">
        <v>26</v>
      </c>
      <c r="C13">
        <v>0.5</v>
      </c>
      <c r="D13">
        <f t="shared" si="0"/>
        <v>50</v>
      </c>
    </row>
    <row r="14" spans="1:4" x14ac:dyDescent="0.15">
      <c r="A14" t="s">
        <v>37</v>
      </c>
      <c r="B14" t="s">
        <v>26</v>
      </c>
      <c r="C14">
        <v>4</v>
      </c>
      <c r="D14">
        <f t="shared" si="0"/>
        <v>400</v>
      </c>
    </row>
    <row r="15" spans="1:4" x14ac:dyDescent="0.15">
      <c r="A15" t="s">
        <v>38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39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40</v>
      </c>
      <c r="B17" t="s">
        <v>24</v>
      </c>
      <c r="C17">
        <v>8</v>
      </c>
      <c r="D17">
        <f t="shared" si="0"/>
        <v>1600</v>
      </c>
    </row>
    <row r="18" spans="1:4" x14ac:dyDescent="0.15">
      <c r="A18" t="s">
        <v>41</v>
      </c>
      <c r="B18" t="s">
        <v>24</v>
      </c>
      <c r="C18">
        <v>8</v>
      </c>
      <c r="D18">
        <f t="shared" si="0"/>
        <v>1600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K25" sqref="K25"/>
    </sheetView>
  </sheetViews>
  <sheetFormatPr defaultRowHeight="13.5" x14ac:dyDescent="0.15"/>
  <cols>
    <col min="1" max="1" width="13.125" bestFit="1" customWidth="1"/>
    <col min="2" max="2" width="16.375" bestFit="1" customWidth="1"/>
    <col min="3" max="3" width="18.625" bestFit="1" customWidth="1"/>
    <col min="4" max="4" width="5.75" bestFit="1" customWidth="1"/>
  </cols>
  <sheetData>
    <row r="1" spans="1:4" x14ac:dyDescent="0.15">
      <c r="A1" s="1" t="s">
        <v>42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43</v>
      </c>
      <c r="B2" t="s">
        <v>24</v>
      </c>
      <c r="C2">
        <v>8</v>
      </c>
      <c r="D2">
        <f t="shared" ref="D2:D18" si="0">IF(B2="","",IF(B2="是",C2*200,IF(B2="否",C2*100,"")))</f>
        <v>1600</v>
      </c>
    </row>
    <row r="3" spans="1:4" x14ac:dyDescent="0.15">
      <c r="A3" t="s">
        <v>44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45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46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47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48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49</v>
      </c>
      <c r="B8" t="s">
        <v>24</v>
      </c>
      <c r="C8">
        <v>8</v>
      </c>
      <c r="D8">
        <f t="shared" si="0"/>
        <v>1600</v>
      </c>
    </row>
    <row r="9" spans="1:4" x14ac:dyDescent="0.15">
      <c r="A9" t="s">
        <v>50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51</v>
      </c>
      <c r="B10" t="s">
        <v>24</v>
      </c>
      <c r="C10">
        <v>8</v>
      </c>
      <c r="D10">
        <f t="shared" si="0"/>
        <v>1600</v>
      </c>
    </row>
    <row r="11" spans="1:4" x14ac:dyDescent="0.15">
      <c r="A11" t="s">
        <v>52</v>
      </c>
      <c r="B11" t="s">
        <v>24</v>
      </c>
      <c r="C11">
        <v>8</v>
      </c>
      <c r="D11">
        <f t="shared" si="0"/>
        <v>1600</v>
      </c>
    </row>
    <row r="12" spans="1:4" x14ac:dyDescent="0.15">
      <c r="A12" t="s">
        <v>53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54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55</v>
      </c>
      <c r="B14" t="s">
        <v>24</v>
      </c>
      <c r="C14">
        <v>8</v>
      </c>
      <c r="D14">
        <f t="shared" si="0"/>
        <v>1600</v>
      </c>
    </row>
    <row r="15" spans="1:4" x14ac:dyDescent="0.15">
      <c r="A15" t="s">
        <v>56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57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58</v>
      </c>
      <c r="B17" t="s">
        <v>24</v>
      </c>
      <c r="C17">
        <v>8</v>
      </c>
      <c r="D17">
        <f t="shared" si="0"/>
        <v>1600</v>
      </c>
    </row>
    <row r="18" spans="1:4" x14ac:dyDescent="0.15">
      <c r="A18" t="s">
        <v>59</v>
      </c>
      <c r="B18" t="s">
        <v>24</v>
      </c>
      <c r="C18">
        <v>8</v>
      </c>
      <c r="D18">
        <f t="shared" si="0"/>
        <v>1600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tabSelected="1" workbookViewId="0">
      <selection activeCell="J25" sqref="J25"/>
    </sheetView>
  </sheetViews>
  <sheetFormatPr defaultRowHeight="13.5" x14ac:dyDescent="0.15"/>
  <cols>
    <col min="1" max="1" width="13.125" bestFit="1" customWidth="1"/>
    <col min="2" max="2" width="16.375" bestFit="1" customWidth="1"/>
    <col min="3" max="3" width="18.625" bestFit="1" customWidth="1"/>
    <col min="4" max="4" width="5.75" bestFit="1" customWidth="1"/>
  </cols>
  <sheetData>
    <row r="1" spans="1:4" x14ac:dyDescent="0.15">
      <c r="A1" s="1" t="s">
        <v>60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61</v>
      </c>
      <c r="B2" t="s">
        <v>26</v>
      </c>
      <c r="C2">
        <v>0.5</v>
      </c>
      <c r="D2">
        <f t="shared" ref="D2:D27" si="0">IF(B2="","",IF(B2="是",C2*200,IF(B2="否",C2*100,"")))</f>
        <v>50</v>
      </c>
    </row>
    <row r="3" spans="1:4" x14ac:dyDescent="0.15">
      <c r="A3" t="s">
        <v>62</v>
      </c>
      <c r="B3" t="s">
        <v>26</v>
      </c>
      <c r="C3">
        <v>0.5</v>
      </c>
      <c r="D3">
        <f t="shared" si="0"/>
        <v>50</v>
      </c>
    </row>
    <row r="4" spans="1:4" x14ac:dyDescent="0.15">
      <c r="A4" t="s">
        <v>63</v>
      </c>
      <c r="B4" t="s">
        <v>26</v>
      </c>
      <c r="C4">
        <v>0.5</v>
      </c>
      <c r="D4">
        <f t="shared" si="0"/>
        <v>50</v>
      </c>
    </row>
    <row r="5" spans="1:4" x14ac:dyDescent="0.15">
      <c r="A5" t="s">
        <v>64</v>
      </c>
      <c r="B5" t="s">
        <v>26</v>
      </c>
      <c r="C5">
        <v>0.5</v>
      </c>
      <c r="D5">
        <f t="shared" si="0"/>
        <v>50</v>
      </c>
    </row>
    <row r="6" spans="1:4" x14ac:dyDescent="0.15">
      <c r="A6" t="s">
        <v>65</v>
      </c>
      <c r="B6" t="s">
        <v>26</v>
      </c>
      <c r="C6">
        <v>4</v>
      </c>
      <c r="D6">
        <f t="shared" si="0"/>
        <v>400</v>
      </c>
    </row>
    <row r="7" spans="1:4" x14ac:dyDescent="0.15">
      <c r="A7" t="s">
        <v>66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67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68</v>
      </c>
      <c r="B9" t="s">
        <v>26</v>
      </c>
      <c r="C9">
        <v>0.5</v>
      </c>
      <c r="D9">
        <f t="shared" si="0"/>
        <v>50</v>
      </c>
    </row>
    <row r="10" spans="1:4" x14ac:dyDescent="0.15">
      <c r="A10" t="s">
        <v>69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70</v>
      </c>
      <c r="B11" t="s">
        <v>26</v>
      </c>
      <c r="C11">
        <v>0.5</v>
      </c>
      <c r="D11">
        <f t="shared" si="0"/>
        <v>50</v>
      </c>
    </row>
    <row r="12" spans="1:4" x14ac:dyDescent="0.15">
      <c r="A12" t="s">
        <v>71</v>
      </c>
      <c r="B12" t="s">
        <v>26</v>
      </c>
      <c r="C12">
        <v>4</v>
      </c>
      <c r="D12">
        <f t="shared" si="0"/>
        <v>400</v>
      </c>
    </row>
    <row r="13" spans="1:4" x14ac:dyDescent="0.15">
      <c r="A13" t="s">
        <v>72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73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74</v>
      </c>
      <c r="B15" t="s">
        <v>26</v>
      </c>
      <c r="C15">
        <v>0.5</v>
      </c>
      <c r="D15">
        <f t="shared" si="0"/>
        <v>50</v>
      </c>
    </row>
    <row r="16" spans="1:4" x14ac:dyDescent="0.15">
      <c r="A16" t="s">
        <v>75</v>
      </c>
      <c r="B16" t="s">
        <v>26</v>
      </c>
      <c r="C16">
        <v>0.5</v>
      </c>
      <c r="D16">
        <f t="shared" si="0"/>
        <v>50</v>
      </c>
    </row>
    <row r="17" spans="1:4" x14ac:dyDescent="0.15">
      <c r="A17" t="s">
        <v>76</v>
      </c>
      <c r="B17" t="s">
        <v>26</v>
      </c>
      <c r="C17">
        <v>0.5</v>
      </c>
      <c r="D17">
        <f t="shared" si="0"/>
        <v>50</v>
      </c>
    </row>
    <row r="18" spans="1:4" x14ac:dyDescent="0.15">
      <c r="A18" t="s">
        <v>77</v>
      </c>
      <c r="B18" t="s">
        <v>26</v>
      </c>
      <c r="C18">
        <v>4</v>
      </c>
      <c r="D18">
        <f t="shared" si="0"/>
        <v>400</v>
      </c>
    </row>
    <row r="19" spans="1:4" x14ac:dyDescent="0.15">
      <c r="A19" t="s">
        <v>78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79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80</v>
      </c>
      <c r="B21" t="s">
        <v>26</v>
      </c>
      <c r="C21">
        <v>0.5</v>
      </c>
      <c r="D21">
        <f t="shared" si="0"/>
        <v>50</v>
      </c>
    </row>
    <row r="22" spans="1:4" x14ac:dyDescent="0.15">
      <c r="A22" t="s">
        <v>81</v>
      </c>
      <c r="B22" t="s">
        <v>26</v>
      </c>
      <c r="C22">
        <v>0.5</v>
      </c>
      <c r="D22">
        <f t="shared" si="0"/>
        <v>50</v>
      </c>
    </row>
    <row r="23" spans="1:4" x14ac:dyDescent="0.15">
      <c r="A23" t="s">
        <v>82</v>
      </c>
      <c r="B23" t="s">
        <v>26</v>
      </c>
      <c r="C23">
        <v>0.5</v>
      </c>
      <c r="D23">
        <f t="shared" si="0"/>
        <v>50</v>
      </c>
    </row>
    <row r="24" spans="1:4" x14ac:dyDescent="0.15">
      <c r="A24" t="s">
        <v>83</v>
      </c>
      <c r="B24" t="s">
        <v>26</v>
      </c>
      <c r="C24">
        <v>4</v>
      </c>
      <c r="D24">
        <f t="shared" si="0"/>
        <v>400</v>
      </c>
    </row>
    <row r="25" spans="1:4" x14ac:dyDescent="0.15">
      <c r="A25" t="s">
        <v>84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85</v>
      </c>
      <c r="B26" t="s">
        <v>26</v>
      </c>
      <c r="C26">
        <v>0.5</v>
      </c>
      <c r="D26">
        <f t="shared" si="0"/>
        <v>50</v>
      </c>
    </row>
    <row r="27" spans="1:4" x14ac:dyDescent="0.15">
      <c r="A27" t="s">
        <v>86</v>
      </c>
      <c r="B27" t="s">
        <v>26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87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88</v>
      </c>
      <c r="B2" t="s">
        <v>26</v>
      </c>
      <c r="C2">
        <v>0.5</v>
      </c>
      <c r="D2">
        <f t="shared" ref="D2:D27" si="0">IF(B2="","",IF(B2="是",C2*200,IF(B2="否",C2*100,"")))</f>
        <v>50</v>
      </c>
    </row>
    <row r="3" spans="1:4" x14ac:dyDescent="0.15">
      <c r="A3" t="s">
        <v>89</v>
      </c>
      <c r="B3" t="s">
        <v>26</v>
      </c>
      <c r="C3">
        <v>0.5</v>
      </c>
      <c r="D3">
        <f t="shared" si="0"/>
        <v>50</v>
      </c>
    </row>
    <row r="4" spans="1:4" x14ac:dyDescent="0.15">
      <c r="A4" t="s">
        <v>90</v>
      </c>
      <c r="B4" t="s">
        <v>26</v>
      </c>
      <c r="C4">
        <v>4</v>
      </c>
      <c r="D4">
        <f t="shared" si="0"/>
        <v>400</v>
      </c>
    </row>
    <row r="5" spans="1:4" x14ac:dyDescent="0.15">
      <c r="A5" t="s">
        <v>91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92</v>
      </c>
      <c r="B6" t="s">
        <v>26</v>
      </c>
      <c r="C6">
        <v>0.5</v>
      </c>
      <c r="D6">
        <f t="shared" si="0"/>
        <v>50</v>
      </c>
    </row>
    <row r="7" spans="1:4" x14ac:dyDescent="0.15">
      <c r="A7" t="s">
        <v>93</v>
      </c>
      <c r="B7" t="s">
        <v>26</v>
      </c>
      <c r="C7">
        <v>0.5</v>
      </c>
      <c r="D7">
        <f t="shared" si="0"/>
        <v>50</v>
      </c>
    </row>
    <row r="8" spans="1:4" x14ac:dyDescent="0.15">
      <c r="A8" t="s">
        <v>94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95</v>
      </c>
      <c r="B9" t="s">
        <v>26</v>
      </c>
      <c r="C9">
        <v>0.5</v>
      </c>
      <c r="D9">
        <f t="shared" si="0"/>
        <v>50</v>
      </c>
    </row>
    <row r="10" spans="1:4" x14ac:dyDescent="0.15">
      <c r="A10" t="s">
        <v>96</v>
      </c>
      <c r="B10" t="s">
        <v>26</v>
      </c>
      <c r="C10">
        <v>4</v>
      </c>
      <c r="D10">
        <f t="shared" si="0"/>
        <v>400</v>
      </c>
    </row>
    <row r="11" spans="1:4" x14ac:dyDescent="0.15">
      <c r="A11" t="s">
        <v>97</v>
      </c>
      <c r="B11" t="s">
        <v>24</v>
      </c>
      <c r="C11">
        <v>8</v>
      </c>
      <c r="D11">
        <f t="shared" si="0"/>
        <v>1600</v>
      </c>
    </row>
    <row r="12" spans="1:4" x14ac:dyDescent="0.15">
      <c r="A12" t="s">
        <v>98</v>
      </c>
      <c r="B12" t="s">
        <v>26</v>
      </c>
      <c r="C12">
        <v>0.5</v>
      </c>
      <c r="D12">
        <f t="shared" si="0"/>
        <v>50</v>
      </c>
    </row>
    <row r="13" spans="1:4" x14ac:dyDescent="0.15">
      <c r="A13" t="s">
        <v>99</v>
      </c>
      <c r="B13" t="s">
        <v>26</v>
      </c>
      <c r="C13">
        <v>0.5</v>
      </c>
      <c r="D13">
        <f t="shared" si="0"/>
        <v>50</v>
      </c>
    </row>
    <row r="14" spans="1:4" x14ac:dyDescent="0.15">
      <c r="A14" t="s">
        <v>100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101</v>
      </c>
      <c r="B15" t="s">
        <v>26</v>
      </c>
      <c r="C15">
        <v>0.5</v>
      </c>
      <c r="D15">
        <f t="shared" si="0"/>
        <v>50</v>
      </c>
    </row>
    <row r="16" spans="1:4" x14ac:dyDescent="0.15">
      <c r="A16" t="s">
        <v>102</v>
      </c>
      <c r="B16" t="s">
        <v>26</v>
      </c>
      <c r="C16">
        <v>4</v>
      </c>
      <c r="D16">
        <f t="shared" si="0"/>
        <v>400</v>
      </c>
    </row>
    <row r="17" spans="1:4" x14ac:dyDescent="0.15">
      <c r="A17" t="s">
        <v>103</v>
      </c>
      <c r="B17" t="s">
        <v>24</v>
      </c>
      <c r="C17">
        <v>8</v>
      </c>
      <c r="D17">
        <f t="shared" si="0"/>
        <v>1600</v>
      </c>
    </row>
    <row r="18" spans="1:4" x14ac:dyDescent="0.15">
      <c r="A18" t="s">
        <v>104</v>
      </c>
      <c r="B18" t="s">
        <v>26</v>
      </c>
      <c r="C18">
        <v>0.5</v>
      </c>
      <c r="D18">
        <f t="shared" si="0"/>
        <v>50</v>
      </c>
    </row>
    <row r="19" spans="1:4" x14ac:dyDescent="0.15">
      <c r="A19" t="s">
        <v>105</v>
      </c>
      <c r="B19" t="s">
        <v>26</v>
      </c>
      <c r="C19">
        <v>0.5</v>
      </c>
      <c r="D19">
        <f t="shared" si="0"/>
        <v>50</v>
      </c>
    </row>
    <row r="20" spans="1:4" x14ac:dyDescent="0.15">
      <c r="A20" t="s">
        <v>106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107</v>
      </c>
      <c r="B21" t="s">
        <v>26</v>
      </c>
      <c r="C21">
        <v>0.5</v>
      </c>
      <c r="D21">
        <f t="shared" si="0"/>
        <v>50</v>
      </c>
    </row>
    <row r="22" spans="1:4" x14ac:dyDescent="0.15">
      <c r="A22" t="s">
        <v>108</v>
      </c>
      <c r="B22" t="s">
        <v>26</v>
      </c>
      <c r="C22">
        <v>4</v>
      </c>
      <c r="D22">
        <f t="shared" si="0"/>
        <v>400</v>
      </c>
    </row>
    <row r="23" spans="1:4" x14ac:dyDescent="0.15">
      <c r="A23" t="s">
        <v>109</v>
      </c>
      <c r="B23" t="s">
        <v>24</v>
      </c>
      <c r="C23">
        <v>8</v>
      </c>
      <c r="D23">
        <f t="shared" si="0"/>
        <v>1600</v>
      </c>
    </row>
    <row r="24" spans="1:4" x14ac:dyDescent="0.15">
      <c r="A24" t="s">
        <v>110</v>
      </c>
      <c r="B24" t="s">
        <v>26</v>
      </c>
      <c r="C24">
        <v>0.5</v>
      </c>
      <c r="D24">
        <f t="shared" si="0"/>
        <v>50</v>
      </c>
    </row>
    <row r="25" spans="1:4" x14ac:dyDescent="0.15">
      <c r="A25" t="s">
        <v>111</v>
      </c>
      <c r="B25" t="s">
        <v>26</v>
      </c>
      <c r="C25">
        <v>0.5</v>
      </c>
      <c r="D25">
        <f t="shared" si="0"/>
        <v>50</v>
      </c>
    </row>
    <row r="26" spans="1:4" x14ac:dyDescent="0.15">
      <c r="A26" t="s">
        <v>112</v>
      </c>
      <c r="B26" t="s">
        <v>26</v>
      </c>
      <c r="C26">
        <v>0.5</v>
      </c>
      <c r="D26">
        <f t="shared" si="0"/>
        <v>50</v>
      </c>
    </row>
    <row r="27" spans="1:4" x14ac:dyDescent="0.15">
      <c r="A27" t="s">
        <v>113</v>
      </c>
      <c r="B27" t="s">
        <v>26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workbookViewId="0">
      <selection activeCell="D14" sqref="D14"/>
    </sheetView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114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115</v>
      </c>
      <c r="B2" t="s">
        <v>24</v>
      </c>
      <c r="C2">
        <v>8</v>
      </c>
      <c r="D2">
        <f t="shared" ref="D2:D27" si="0">IF(B2="","",IF(B2="是",C2*200,IF(B2="否",C2*100,"")))</f>
        <v>1600</v>
      </c>
    </row>
    <row r="3" spans="1:4" x14ac:dyDescent="0.15">
      <c r="A3" t="s">
        <v>116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117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118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119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120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121</v>
      </c>
      <c r="B8" t="s">
        <v>26</v>
      </c>
      <c r="C8">
        <v>4</v>
      </c>
      <c r="D8">
        <f t="shared" si="0"/>
        <v>400</v>
      </c>
    </row>
    <row r="9" spans="1:4" x14ac:dyDescent="0.15">
      <c r="A9" t="s">
        <v>122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123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124</v>
      </c>
      <c r="B11" t="s">
        <v>26</v>
      </c>
      <c r="C11">
        <v>0.5</v>
      </c>
      <c r="D11">
        <f t="shared" si="0"/>
        <v>50</v>
      </c>
    </row>
    <row r="12" spans="1:4" x14ac:dyDescent="0.15">
      <c r="A12" t="s">
        <v>125</v>
      </c>
      <c r="B12" t="s">
        <v>26</v>
      </c>
      <c r="C12">
        <v>0.5</v>
      </c>
      <c r="D12">
        <f t="shared" si="0"/>
        <v>50</v>
      </c>
    </row>
    <row r="13" spans="1:4" x14ac:dyDescent="0.15">
      <c r="A13" t="s">
        <v>126</v>
      </c>
      <c r="B13" t="s">
        <v>26</v>
      </c>
      <c r="C13">
        <v>0.5</v>
      </c>
      <c r="D13">
        <f t="shared" si="0"/>
        <v>50</v>
      </c>
    </row>
    <row r="14" spans="1:4" x14ac:dyDescent="0.15">
      <c r="A14" t="s">
        <v>127</v>
      </c>
      <c r="B14" t="s">
        <v>26</v>
      </c>
      <c r="C14">
        <v>4</v>
      </c>
      <c r="D14">
        <f t="shared" si="0"/>
        <v>400</v>
      </c>
    </row>
    <row r="15" spans="1:4" x14ac:dyDescent="0.15">
      <c r="A15" t="s">
        <v>128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129</v>
      </c>
      <c r="B16" t="s">
        <v>26</v>
      </c>
      <c r="C16">
        <v>0.5</v>
      </c>
      <c r="D16">
        <f t="shared" si="0"/>
        <v>50</v>
      </c>
    </row>
    <row r="17" spans="1:4" x14ac:dyDescent="0.15">
      <c r="A17" t="s">
        <v>130</v>
      </c>
      <c r="B17" t="s">
        <v>26</v>
      </c>
      <c r="C17">
        <v>0.5</v>
      </c>
      <c r="D17">
        <f t="shared" si="0"/>
        <v>50</v>
      </c>
    </row>
    <row r="18" spans="1:4" x14ac:dyDescent="0.15">
      <c r="A18" t="s">
        <v>131</v>
      </c>
      <c r="B18" t="s">
        <v>26</v>
      </c>
      <c r="C18">
        <v>0.5</v>
      </c>
      <c r="D18">
        <f t="shared" si="0"/>
        <v>50</v>
      </c>
    </row>
    <row r="19" spans="1:4" x14ac:dyDescent="0.15">
      <c r="A19" t="s">
        <v>132</v>
      </c>
      <c r="B19" t="s">
        <v>26</v>
      </c>
      <c r="C19">
        <v>0.5</v>
      </c>
      <c r="D19">
        <f t="shared" si="0"/>
        <v>50</v>
      </c>
    </row>
    <row r="20" spans="1:4" x14ac:dyDescent="0.15">
      <c r="A20" t="s">
        <v>133</v>
      </c>
      <c r="B20" t="s">
        <v>26</v>
      </c>
      <c r="C20">
        <v>4</v>
      </c>
      <c r="D20">
        <f t="shared" si="0"/>
        <v>400</v>
      </c>
    </row>
    <row r="21" spans="1:4" x14ac:dyDescent="0.15">
      <c r="A21" t="s">
        <v>134</v>
      </c>
      <c r="B21" t="s">
        <v>24</v>
      </c>
      <c r="C21">
        <v>8</v>
      </c>
      <c r="D21">
        <f t="shared" si="0"/>
        <v>1600</v>
      </c>
    </row>
    <row r="22" spans="1:4" x14ac:dyDescent="0.15">
      <c r="A22" t="s">
        <v>135</v>
      </c>
      <c r="B22" t="s">
        <v>26</v>
      </c>
      <c r="C22">
        <v>0.5</v>
      </c>
      <c r="D22">
        <f t="shared" si="0"/>
        <v>50</v>
      </c>
    </row>
    <row r="23" spans="1:4" x14ac:dyDescent="0.15">
      <c r="A23" t="s">
        <v>136</v>
      </c>
      <c r="B23" t="s">
        <v>26</v>
      </c>
      <c r="C23">
        <v>0.5</v>
      </c>
      <c r="D23">
        <f t="shared" si="0"/>
        <v>50</v>
      </c>
    </row>
    <row r="24" spans="1:4" x14ac:dyDescent="0.15">
      <c r="A24" t="s">
        <v>137</v>
      </c>
      <c r="B24" t="s">
        <v>26</v>
      </c>
      <c r="C24">
        <v>0.5</v>
      </c>
      <c r="D24">
        <f t="shared" si="0"/>
        <v>50</v>
      </c>
    </row>
    <row r="25" spans="1:4" x14ac:dyDescent="0.15">
      <c r="A25" t="s">
        <v>138</v>
      </c>
      <c r="B25" t="s">
        <v>26</v>
      </c>
      <c r="C25">
        <v>0.5</v>
      </c>
      <c r="D25">
        <f t="shared" si="0"/>
        <v>50</v>
      </c>
    </row>
    <row r="26" spans="1:4" x14ac:dyDescent="0.15">
      <c r="A26" t="s">
        <v>139</v>
      </c>
      <c r="B26" t="s">
        <v>26</v>
      </c>
      <c r="C26">
        <v>4</v>
      </c>
      <c r="D26">
        <f t="shared" si="0"/>
        <v>400</v>
      </c>
    </row>
    <row r="27" spans="1:4" x14ac:dyDescent="0.15">
      <c r="A27" t="s">
        <v>140</v>
      </c>
      <c r="B27" t="s">
        <v>24</v>
      </c>
      <c r="C27">
        <v>8</v>
      </c>
      <c r="D27">
        <f t="shared" si="0"/>
        <v>1600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141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142</v>
      </c>
      <c r="B2" t="s">
        <v>26</v>
      </c>
      <c r="C2">
        <v>0.5</v>
      </c>
      <c r="D2">
        <f t="shared" ref="D2:D27" si="0">IF(B2="","",IF(B2="是",C2*200,IF(B2="否",C2*100,"")))</f>
        <v>50</v>
      </c>
    </row>
    <row r="3" spans="1:4" x14ac:dyDescent="0.15">
      <c r="A3" t="s">
        <v>143</v>
      </c>
      <c r="B3" t="s">
        <v>26</v>
      </c>
      <c r="C3">
        <v>0.5</v>
      </c>
      <c r="D3">
        <f t="shared" si="0"/>
        <v>50</v>
      </c>
    </row>
    <row r="4" spans="1:4" x14ac:dyDescent="0.15">
      <c r="A4" t="s">
        <v>144</v>
      </c>
      <c r="B4" t="s">
        <v>26</v>
      </c>
      <c r="C4">
        <v>0.5</v>
      </c>
      <c r="D4">
        <f t="shared" si="0"/>
        <v>50</v>
      </c>
    </row>
    <row r="5" spans="1:4" x14ac:dyDescent="0.15">
      <c r="A5" t="s">
        <v>145</v>
      </c>
      <c r="B5" t="s">
        <v>26</v>
      </c>
      <c r="C5">
        <v>0.5</v>
      </c>
      <c r="D5">
        <f t="shared" si="0"/>
        <v>50</v>
      </c>
    </row>
    <row r="6" spans="1:4" x14ac:dyDescent="0.15">
      <c r="A6" t="s">
        <v>146</v>
      </c>
      <c r="B6" t="s">
        <v>26</v>
      </c>
      <c r="C6">
        <v>4</v>
      </c>
      <c r="D6">
        <f t="shared" si="0"/>
        <v>400</v>
      </c>
    </row>
    <row r="7" spans="1:4" x14ac:dyDescent="0.15">
      <c r="A7" t="s">
        <v>147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148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149</v>
      </c>
      <c r="B9" t="s">
        <v>26</v>
      </c>
      <c r="C9">
        <v>0.5</v>
      </c>
      <c r="D9">
        <f t="shared" si="0"/>
        <v>50</v>
      </c>
    </row>
    <row r="10" spans="1:4" x14ac:dyDescent="0.15">
      <c r="A10" t="s">
        <v>150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151</v>
      </c>
      <c r="B11" t="s">
        <v>26</v>
      </c>
      <c r="C11">
        <v>0.5</v>
      </c>
      <c r="D11">
        <f t="shared" si="0"/>
        <v>50</v>
      </c>
    </row>
    <row r="12" spans="1:4" x14ac:dyDescent="0.15">
      <c r="A12" t="s">
        <v>152</v>
      </c>
      <c r="B12" t="s">
        <v>26</v>
      </c>
      <c r="C12">
        <v>4</v>
      </c>
      <c r="D12">
        <f t="shared" si="0"/>
        <v>400</v>
      </c>
    </row>
    <row r="13" spans="1:4" x14ac:dyDescent="0.15">
      <c r="A13" t="s">
        <v>153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154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155</v>
      </c>
      <c r="B15" t="s">
        <v>26</v>
      </c>
      <c r="C15">
        <v>0.5</v>
      </c>
      <c r="D15">
        <f t="shared" si="0"/>
        <v>50</v>
      </c>
    </row>
    <row r="16" spans="1:4" x14ac:dyDescent="0.15">
      <c r="A16" t="s">
        <v>156</v>
      </c>
      <c r="B16" t="s">
        <v>26</v>
      </c>
      <c r="C16">
        <v>0.5</v>
      </c>
      <c r="D16">
        <f t="shared" si="0"/>
        <v>50</v>
      </c>
    </row>
    <row r="17" spans="1:4" x14ac:dyDescent="0.15">
      <c r="A17" t="s">
        <v>157</v>
      </c>
      <c r="B17" t="s">
        <v>26</v>
      </c>
      <c r="C17">
        <v>0.5</v>
      </c>
      <c r="D17">
        <f t="shared" si="0"/>
        <v>50</v>
      </c>
    </row>
    <row r="18" spans="1:4" x14ac:dyDescent="0.15">
      <c r="A18" t="s">
        <v>158</v>
      </c>
      <c r="B18" t="s">
        <v>26</v>
      </c>
      <c r="C18">
        <v>4</v>
      </c>
      <c r="D18">
        <f t="shared" si="0"/>
        <v>400</v>
      </c>
    </row>
    <row r="19" spans="1:4" x14ac:dyDescent="0.15">
      <c r="A19" t="s">
        <v>159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160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161</v>
      </c>
      <c r="B21" t="s">
        <v>26</v>
      </c>
      <c r="C21">
        <v>0.5</v>
      </c>
      <c r="D21">
        <f t="shared" si="0"/>
        <v>50</v>
      </c>
    </row>
    <row r="22" spans="1:4" x14ac:dyDescent="0.15">
      <c r="A22" t="s">
        <v>162</v>
      </c>
      <c r="B22" t="s">
        <v>26</v>
      </c>
      <c r="C22">
        <v>0.5</v>
      </c>
      <c r="D22">
        <f t="shared" si="0"/>
        <v>50</v>
      </c>
    </row>
    <row r="23" spans="1:4" x14ac:dyDescent="0.15">
      <c r="A23" t="s">
        <v>163</v>
      </c>
      <c r="B23" t="s">
        <v>26</v>
      </c>
      <c r="C23">
        <v>0.5</v>
      </c>
      <c r="D23">
        <f t="shared" si="0"/>
        <v>50</v>
      </c>
    </row>
    <row r="24" spans="1:4" x14ac:dyDescent="0.15">
      <c r="A24" t="s">
        <v>164</v>
      </c>
      <c r="B24" t="s">
        <v>26</v>
      </c>
      <c r="C24">
        <v>4</v>
      </c>
      <c r="D24">
        <f t="shared" si="0"/>
        <v>400</v>
      </c>
    </row>
    <row r="25" spans="1:4" x14ac:dyDescent="0.15">
      <c r="A25" t="s">
        <v>165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166</v>
      </c>
      <c r="B26" t="s">
        <v>26</v>
      </c>
      <c r="C26">
        <v>0.5</v>
      </c>
      <c r="D26">
        <f t="shared" si="0"/>
        <v>50</v>
      </c>
    </row>
    <row r="27" spans="1:4" x14ac:dyDescent="0.15">
      <c r="A27" t="s">
        <v>167</v>
      </c>
      <c r="B27" t="s">
        <v>26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8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168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169</v>
      </c>
      <c r="B2" t="s">
        <v>24</v>
      </c>
      <c r="C2">
        <v>8</v>
      </c>
      <c r="D2">
        <f t="shared" ref="D2:D28" si="0">IF(B2="","",IF(B2="是",C2*200,IF(B2="否",C2*100,"")))</f>
        <v>1600</v>
      </c>
    </row>
    <row r="3" spans="1:4" x14ac:dyDescent="0.15">
      <c r="A3" t="s">
        <v>170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171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172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173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174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175</v>
      </c>
      <c r="B8" t="s">
        <v>24</v>
      </c>
      <c r="C8">
        <v>8</v>
      </c>
      <c r="D8">
        <f t="shared" si="0"/>
        <v>1600</v>
      </c>
    </row>
    <row r="9" spans="1:4" x14ac:dyDescent="0.15">
      <c r="A9" t="s">
        <v>176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177</v>
      </c>
      <c r="B10" t="s">
        <v>24</v>
      </c>
      <c r="C10">
        <v>8</v>
      </c>
      <c r="D10">
        <f t="shared" si="0"/>
        <v>1600</v>
      </c>
    </row>
    <row r="11" spans="1:4" x14ac:dyDescent="0.15">
      <c r="A11" t="s">
        <v>178</v>
      </c>
      <c r="B11" t="s">
        <v>24</v>
      </c>
      <c r="C11">
        <v>8</v>
      </c>
      <c r="D11">
        <f t="shared" si="0"/>
        <v>1600</v>
      </c>
    </row>
    <row r="12" spans="1:4" x14ac:dyDescent="0.15">
      <c r="A12" t="s">
        <v>179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180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181</v>
      </c>
      <c r="B14" t="s">
        <v>24</v>
      </c>
      <c r="C14">
        <v>8</v>
      </c>
      <c r="D14">
        <f t="shared" si="0"/>
        <v>1600</v>
      </c>
    </row>
    <row r="15" spans="1:4" x14ac:dyDescent="0.15">
      <c r="A15" t="s">
        <v>182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183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184</v>
      </c>
      <c r="B17" t="s">
        <v>24</v>
      </c>
      <c r="C17">
        <v>8</v>
      </c>
      <c r="D17">
        <f t="shared" si="0"/>
        <v>1600</v>
      </c>
    </row>
    <row r="18" spans="1:4" x14ac:dyDescent="0.15">
      <c r="A18" t="s">
        <v>185</v>
      </c>
      <c r="B18" t="s">
        <v>24</v>
      </c>
      <c r="C18">
        <v>8</v>
      </c>
      <c r="D18">
        <f t="shared" si="0"/>
        <v>1600</v>
      </c>
    </row>
    <row r="19" spans="1:4" x14ac:dyDescent="0.15">
      <c r="A19" t="s">
        <v>186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187</v>
      </c>
      <c r="B20" t="s">
        <v>24</v>
      </c>
      <c r="C20">
        <v>8</v>
      </c>
      <c r="D20">
        <f t="shared" si="0"/>
        <v>1600</v>
      </c>
    </row>
    <row r="21" spans="1:4" x14ac:dyDescent="0.15">
      <c r="A21" t="s">
        <v>188</v>
      </c>
      <c r="B21" t="s">
        <v>24</v>
      </c>
      <c r="C21">
        <v>8</v>
      </c>
      <c r="D21">
        <f t="shared" si="0"/>
        <v>1600</v>
      </c>
    </row>
    <row r="22" spans="1:4" x14ac:dyDescent="0.15">
      <c r="A22" t="s">
        <v>189</v>
      </c>
      <c r="B22" t="s">
        <v>24</v>
      </c>
      <c r="C22">
        <v>8</v>
      </c>
      <c r="D22">
        <f t="shared" si="0"/>
        <v>1600</v>
      </c>
    </row>
    <row r="23" spans="1:4" x14ac:dyDescent="0.15">
      <c r="A23" t="s">
        <v>190</v>
      </c>
      <c r="B23" t="s">
        <v>24</v>
      </c>
      <c r="C23">
        <v>8</v>
      </c>
      <c r="D23">
        <f t="shared" si="0"/>
        <v>1600</v>
      </c>
    </row>
    <row r="24" spans="1:4" x14ac:dyDescent="0.15">
      <c r="A24" t="s">
        <v>191</v>
      </c>
      <c r="B24" t="s">
        <v>24</v>
      </c>
      <c r="C24">
        <v>8</v>
      </c>
      <c r="D24">
        <f t="shared" si="0"/>
        <v>1600</v>
      </c>
    </row>
    <row r="25" spans="1:4" x14ac:dyDescent="0.15">
      <c r="A25" t="s">
        <v>192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193</v>
      </c>
      <c r="B26" t="s">
        <v>24</v>
      </c>
      <c r="C26">
        <v>8</v>
      </c>
      <c r="D26">
        <f t="shared" si="0"/>
        <v>1600</v>
      </c>
    </row>
    <row r="27" spans="1:4" x14ac:dyDescent="0.15">
      <c r="A27" t="s">
        <v>194</v>
      </c>
      <c r="B27" t="s">
        <v>24</v>
      </c>
      <c r="C27">
        <v>8</v>
      </c>
      <c r="D27">
        <f t="shared" si="0"/>
        <v>1600</v>
      </c>
    </row>
    <row r="28" spans="1:4" x14ac:dyDescent="0.15">
      <c r="A28" t="s">
        <v>195</v>
      </c>
      <c r="B28" t="s">
        <v>24</v>
      </c>
      <c r="C28">
        <v>8</v>
      </c>
      <c r="D28">
        <f t="shared" si="0"/>
        <v>1600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196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197</v>
      </c>
      <c r="B2" t="s">
        <v>24</v>
      </c>
      <c r="C2">
        <v>8</v>
      </c>
      <c r="D2">
        <f t="shared" ref="D2:D27" si="0">IF(B2="","",IF(B2="是",C2*200,IF(B2="否",C2*100,"")))</f>
        <v>1600</v>
      </c>
    </row>
    <row r="3" spans="1:4" x14ac:dyDescent="0.15">
      <c r="A3" t="s">
        <v>198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199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200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201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202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203</v>
      </c>
      <c r="B8" t="s">
        <v>24</v>
      </c>
      <c r="C8">
        <v>8</v>
      </c>
      <c r="D8">
        <f t="shared" si="0"/>
        <v>1600</v>
      </c>
    </row>
    <row r="9" spans="1:4" x14ac:dyDescent="0.15">
      <c r="A9" t="s">
        <v>204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205</v>
      </c>
      <c r="B10" t="s">
        <v>24</v>
      </c>
      <c r="C10">
        <v>8</v>
      </c>
      <c r="D10">
        <f t="shared" si="0"/>
        <v>1600</v>
      </c>
    </row>
    <row r="11" spans="1:4" x14ac:dyDescent="0.15">
      <c r="A11" t="s">
        <v>206</v>
      </c>
      <c r="B11" t="s">
        <v>24</v>
      </c>
      <c r="C11">
        <v>8</v>
      </c>
      <c r="D11">
        <f t="shared" si="0"/>
        <v>1600</v>
      </c>
    </row>
    <row r="12" spans="1:4" x14ac:dyDescent="0.15">
      <c r="A12" t="s">
        <v>207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208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209</v>
      </c>
      <c r="B14" t="s">
        <v>24</v>
      </c>
      <c r="C14">
        <v>8</v>
      </c>
      <c r="D14">
        <f t="shared" si="0"/>
        <v>1600</v>
      </c>
    </row>
    <row r="15" spans="1:4" x14ac:dyDescent="0.15">
      <c r="A15" t="s">
        <v>210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211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212</v>
      </c>
      <c r="B17" t="s">
        <v>24</v>
      </c>
      <c r="C17">
        <v>8</v>
      </c>
      <c r="D17">
        <f t="shared" si="0"/>
        <v>1600</v>
      </c>
    </row>
    <row r="18" spans="1:4" x14ac:dyDescent="0.15">
      <c r="A18" t="s">
        <v>213</v>
      </c>
      <c r="B18" t="s">
        <v>24</v>
      </c>
      <c r="C18">
        <v>8</v>
      </c>
      <c r="D18">
        <f t="shared" si="0"/>
        <v>1600</v>
      </c>
    </row>
    <row r="19" spans="1:4" x14ac:dyDescent="0.15">
      <c r="A19" t="s">
        <v>214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215</v>
      </c>
      <c r="B20" t="s">
        <v>24</v>
      </c>
      <c r="C20">
        <v>8</v>
      </c>
      <c r="D20">
        <f t="shared" si="0"/>
        <v>1600</v>
      </c>
    </row>
    <row r="21" spans="1:4" x14ac:dyDescent="0.15">
      <c r="A21" t="s">
        <v>216</v>
      </c>
      <c r="B21" t="s">
        <v>24</v>
      </c>
      <c r="C21">
        <v>8</v>
      </c>
      <c r="D21">
        <f t="shared" si="0"/>
        <v>1600</v>
      </c>
    </row>
    <row r="22" spans="1:4" x14ac:dyDescent="0.15">
      <c r="A22" t="s">
        <v>217</v>
      </c>
      <c r="B22" t="s">
        <v>24</v>
      </c>
      <c r="C22">
        <v>8</v>
      </c>
      <c r="D22">
        <f t="shared" si="0"/>
        <v>1600</v>
      </c>
    </row>
    <row r="23" spans="1:4" x14ac:dyDescent="0.15">
      <c r="A23" t="s">
        <v>218</v>
      </c>
      <c r="B23" t="s">
        <v>24</v>
      </c>
      <c r="C23">
        <v>8</v>
      </c>
      <c r="D23">
        <f t="shared" si="0"/>
        <v>1600</v>
      </c>
    </row>
    <row r="24" spans="1:4" x14ac:dyDescent="0.15">
      <c r="A24" t="s">
        <v>219</v>
      </c>
      <c r="B24" t="s">
        <v>24</v>
      </c>
      <c r="C24">
        <v>8</v>
      </c>
      <c r="D24">
        <f t="shared" si="0"/>
        <v>1600</v>
      </c>
    </row>
    <row r="25" spans="1:4" x14ac:dyDescent="0.15">
      <c r="A25" t="s">
        <v>220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221</v>
      </c>
      <c r="B26" t="s">
        <v>24</v>
      </c>
      <c r="C26">
        <v>8</v>
      </c>
      <c r="D26">
        <f t="shared" si="0"/>
        <v>1600</v>
      </c>
    </row>
    <row r="27" spans="1:4" x14ac:dyDescent="0.15">
      <c r="A27" t="s">
        <v>222</v>
      </c>
      <c r="B27" t="s">
        <v>24</v>
      </c>
      <c r="C27">
        <v>8</v>
      </c>
      <c r="D27">
        <f t="shared" si="0"/>
        <v>1600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7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223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224</v>
      </c>
      <c r="B2" t="s">
        <v>26</v>
      </c>
      <c r="C2">
        <v>0.5</v>
      </c>
      <c r="D2">
        <f t="shared" ref="D2:D27" si="0">IF(B2="","",IF(B2="是",C2*200,IF(B2="否",C2*100,"")))</f>
        <v>50</v>
      </c>
    </row>
    <row r="3" spans="1:4" x14ac:dyDescent="0.15">
      <c r="A3" t="s">
        <v>225</v>
      </c>
      <c r="B3" t="s">
        <v>26</v>
      </c>
      <c r="C3">
        <v>0.5</v>
      </c>
      <c r="D3">
        <f t="shared" si="0"/>
        <v>50</v>
      </c>
    </row>
    <row r="4" spans="1:4" x14ac:dyDescent="0.15">
      <c r="A4" t="s">
        <v>226</v>
      </c>
      <c r="B4" t="s">
        <v>26</v>
      </c>
      <c r="C4">
        <v>0.5</v>
      </c>
      <c r="D4">
        <f t="shared" si="0"/>
        <v>50</v>
      </c>
    </row>
    <row r="5" spans="1:4" x14ac:dyDescent="0.15">
      <c r="A5" t="s">
        <v>227</v>
      </c>
      <c r="B5" t="s">
        <v>26</v>
      </c>
      <c r="C5">
        <v>4</v>
      </c>
      <c r="D5">
        <f t="shared" si="0"/>
        <v>400</v>
      </c>
    </row>
    <row r="6" spans="1:4" x14ac:dyDescent="0.15">
      <c r="A6" t="s">
        <v>228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229</v>
      </c>
      <c r="B7" t="s">
        <v>26</v>
      </c>
      <c r="C7">
        <v>0.5</v>
      </c>
      <c r="D7">
        <f t="shared" si="0"/>
        <v>50</v>
      </c>
    </row>
    <row r="8" spans="1:4" x14ac:dyDescent="0.15">
      <c r="A8" t="s">
        <v>230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231</v>
      </c>
      <c r="B9" t="s">
        <v>26</v>
      </c>
      <c r="C9">
        <v>0.5</v>
      </c>
      <c r="D9">
        <f t="shared" si="0"/>
        <v>50</v>
      </c>
    </row>
    <row r="10" spans="1:4" x14ac:dyDescent="0.15">
      <c r="A10" t="s">
        <v>232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233</v>
      </c>
      <c r="B11" t="s">
        <v>26</v>
      </c>
      <c r="C11">
        <v>4</v>
      </c>
      <c r="D11">
        <f t="shared" si="0"/>
        <v>400</v>
      </c>
    </row>
    <row r="12" spans="1:4" x14ac:dyDescent="0.15">
      <c r="A12" t="s">
        <v>234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235</v>
      </c>
      <c r="B13" t="s">
        <v>26</v>
      </c>
      <c r="C13">
        <v>0.5</v>
      </c>
      <c r="D13">
        <f t="shared" si="0"/>
        <v>50</v>
      </c>
    </row>
    <row r="14" spans="1:4" x14ac:dyDescent="0.15">
      <c r="A14" t="s">
        <v>236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237</v>
      </c>
      <c r="B15" t="s">
        <v>26</v>
      </c>
      <c r="C15">
        <v>0.5</v>
      </c>
      <c r="D15">
        <f t="shared" si="0"/>
        <v>50</v>
      </c>
    </row>
    <row r="16" spans="1:4" x14ac:dyDescent="0.15">
      <c r="A16" t="s">
        <v>238</v>
      </c>
      <c r="B16" t="s">
        <v>26</v>
      </c>
      <c r="C16">
        <v>0.5</v>
      </c>
      <c r="D16">
        <f t="shared" si="0"/>
        <v>50</v>
      </c>
    </row>
    <row r="17" spans="1:4" x14ac:dyDescent="0.15">
      <c r="A17" t="s">
        <v>239</v>
      </c>
      <c r="B17" t="s">
        <v>26</v>
      </c>
      <c r="C17">
        <v>4</v>
      </c>
      <c r="D17">
        <f t="shared" si="0"/>
        <v>400</v>
      </c>
    </row>
    <row r="18" spans="1:4" x14ac:dyDescent="0.15">
      <c r="A18" t="s">
        <v>240</v>
      </c>
      <c r="B18" t="s">
        <v>24</v>
      </c>
      <c r="C18">
        <v>8</v>
      </c>
      <c r="D18">
        <f t="shared" si="0"/>
        <v>1600</v>
      </c>
    </row>
    <row r="19" spans="1:4" x14ac:dyDescent="0.15">
      <c r="A19" t="s">
        <v>241</v>
      </c>
      <c r="B19" t="s">
        <v>26</v>
      </c>
      <c r="C19">
        <v>0.5</v>
      </c>
      <c r="D19">
        <f t="shared" si="0"/>
        <v>50</v>
      </c>
    </row>
    <row r="20" spans="1:4" x14ac:dyDescent="0.15">
      <c r="A20" t="s">
        <v>242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243</v>
      </c>
      <c r="B21" t="s">
        <v>26</v>
      </c>
      <c r="C21">
        <v>0.5</v>
      </c>
      <c r="D21">
        <f t="shared" si="0"/>
        <v>50</v>
      </c>
    </row>
    <row r="22" spans="1:4" x14ac:dyDescent="0.15">
      <c r="A22" t="s">
        <v>244</v>
      </c>
      <c r="B22" t="s">
        <v>26</v>
      </c>
      <c r="C22">
        <v>0.5</v>
      </c>
      <c r="D22">
        <f t="shared" si="0"/>
        <v>50</v>
      </c>
    </row>
    <row r="23" spans="1:4" x14ac:dyDescent="0.15">
      <c r="A23" t="s">
        <v>245</v>
      </c>
      <c r="B23" t="s">
        <v>26</v>
      </c>
      <c r="C23">
        <v>4</v>
      </c>
      <c r="D23">
        <f t="shared" si="0"/>
        <v>400</v>
      </c>
    </row>
    <row r="24" spans="1:4" x14ac:dyDescent="0.15">
      <c r="A24" t="s">
        <v>246</v>
      </c>
      <c r="B24" t="s">
        <v>24</v>
      </c>
      <c r="C24">
        <v>8</v>
      </c>
      <c r="D24">
        <f t="shared" si="0"/>
        <v>1600</v>
      </c>
    </row>
    <row r="25" spans="1:4" x14ac:dyDescent="0.15">
      <c r="A25" t="s">
        <v>247</v>
      </c>
      <c r="B25" t="s">
        <v>26</v>
      </c>
      <c r="C25">
        <v>0.5</v>
      </c>
      <c r="D25">
        <f t="shared" si="0"/>
        <v>50</v>
      </c>
    </row>
    <row r="26" spans="1:4" x14ac:dyDescent="0.15">
      <c r="A26" t="s">
        <v>248</v>
      </c>
      <c r="B26" t="s">
        <v>26</v>
      </c>
      <c r="C26">
        <v>0.5</v>
      </c>
      <c r="D26">
        <f t="shared" si="0"/>
        <v>50</v>
      </c>
    </row>
    <row r="27" spans="1:4" x14ac:dyDescent="0.15">
      <c r="A27" t="s">
        <v>249</v>
      </c>
      <c r="B27" t="s">
        <v>26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8"/>
  <sheetViews>
    <sheetView workbookViewId="0">
      <selection activeCell="D8" sqref="D8"/>
    </sheetView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250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251</v>
      </c>
      <c r="B2" t="s">
        <v>24</v>
      </c>
      <c r="C2">
        <v>8</v>
      </c>
      <c r="D2">
        <f t="shared" ref="D2:D28" si="0">IF(B2="","",IF(B2="是",C2*200,IF(B2="否",C2*100,"")))</f>
        <v>1600</v>
      </c>
    </row>
    <row r="3" spans="1:4" x14ac:dyDescent="0.15">
      <c r="A3" t="s">
        <v>252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253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254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255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256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257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258</v>
      </c>
      <c r="B9" t="s">
        <v>26</v>
      </c>
      <c r="C9">
        <v>4</v>
      </c>
      <c r="D9">
        <f t="shared" si="0"/>
        <v>400</v>
      </c>
    </row>
    <row r="10" spans="1:4" x14ac:dyDescent="0.15">
      <c r="A10" t="s">
        <v>259</v>
      </c>
      <c r="B10" t="s">
        <v>24</v>
      </c>
      <c r="C10">
        <v>8</v>
      </c>
      <c r="D10">
        <f t="shared" si="0"/>
        <v>1600</v>
      </c>
    </row>
    <row r="11" spans="1:4" x14ac:dyDescent="0.15">
      <c r="A11" t="s">
        <v>260</v>
      </c>
      <c r="B11" t="s">
        <v>26</v>
      </c>
      <c r="C11">
        <v>0.5</v>
      </c>
      <c r="D11">
        <f t="shared" si="0"/>
        <v>50</v>
      </c>
    </row>
    <row r="12" spans="1:4" x14ac:dyDescent="0.15">
      <c r="A12" t="s">
        <v>261</v>
      </c>
      <c r="B12" t="s">
        <v>26</v>
      </c>
      <c r="C12">
        <v>0.5</v>
      </c>
      <c r="D12">
        <f t="shared" si="0"/>
        <v>50</v>
      </c>
    </row>
    <row r="13" spans="1:4" x14ac:dyDescent="0.15">
      <c r="A13" t="s">
        <v>262</v>
      </c>
      <c r="B13" t="s">
        <v>26</v>
      </c>
      <c r="C13">
        <v>0.5</v>
      </c>
      <c r="D13">
        <f t="shared" si="0"/>
        <v>50</v>
      </c>
    </row>
    <row r="14" spans="1:4" x14ac:dyDescent="0.15">
      <c r="A14" t="s">
        <v>263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264</v>
      </c>
      <c r="B15" t="s">
        <v>26</v>
      </c>
      <c r="C15">
        <v>4</v>
      </c>
      <c r="D15">
        <f t="shared" si="0"/>
        <v>400</v>
      </c>
    </row>
    <row r="16" spans="1:4" x14ac:dyDescent="0.15">
      <c r="A16" t="s">
        <v>265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266</v>
      </c>
      <c r="B17" t="s">
        <v>26</v>
      </c>
      <c r="C17">
        <v>0.5</v>
      </c>
      <c r="D17">
        <f t="shared" si="0"/>
        <v>50</v>
      </c>
    </row>
    <row r="18" spans="1:4" x14ac:dyDescent="0.15">
      <c r="A18" t="s">
        <v>267</v>
      </c>
      <c r="B18" t="s">
        <v>26</v>
      </c>
      <c r="C18">
        <v>0.5</v>
      </c>
      <c r="D18">
        <f t="shared" si="0"/>
        <v>50</v>
      </c>
    </row>
    <row r="19" spans="1:4" x14ac:dyDescent="0.15">
      <c r="A19" t="s">
        <v>268</v>
      </c>
      <c r="B19" t="s">
        <v>26</v>
      </c>
      <c r="C19">
        <v>0.5</v>
      </c>
      <c r="D19">
        <f t="shared" si="0"/>
        <v>50</v>
      </c>
    </row>
    <row r="20" spans="1:4" x14ac:dyDescent="0.15">
      <c r="A20" t="s">
        <v>269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270</v>
      </c>
      <c r="B21" t="s">
        <v>26</v>
      </c>
      <c r="C21">
        <v>4</v>
      </c>
      <c r="D21">
        <f t="shared" si="0"/>
        <v>400</v>
      </c>
    </row>
    <row r="22" spans="1:4" x14ac:dyDescent="0.15">
      <c r="A22" t="s">
        <v>271</v>
      </c>
      <c r="B22" t="s">
        <v>24</v>
      </c>
      <c r="C22">
        <v>8</v>
      </c>
      <c r="D22">
        <f t="shared" si="0"/>
        <v>1600</v>
      </c>
    </row>
    <row r="23" spans="1:4" x14ac:dyDescent="0.15">
      <c r="A23" t="s">
        <v>272</v>
      </c>
      <c r="B23" t="s">
        <v>26</v>
      </c>
      <c r="C23">
        <v>0.5</v>
      </c>
      <c r="D23">
        <f t="shared" si="0"/>
        <v>50</v>
      </c>
    </row>
    <row r="24" spans="1:4" x14ac:dyDescent="0.15">
      <c r="A24" t="s">
        <v>273</v>
      </c>
      <c r="B24" t="s">
        <v>26</v>
      </c>
      <c r="C24">
        <v>0.5</v>
      </c>
      <c r="D24">
        <f t="shared" si="0"/>
        <v>50</v>
      </c>
    </row>
    <row r="25" spans="1:4" x14ac:dyDescent="0.15">
      <c r="A25" t="s">
        <v>274</v>
      </c>
      <c r="B25" t="s">
        <v>26</v>
      </c>
      <c r="C25">
        <v>0.5</v>
      </c>
      <c r="D25">
        <f t="shared" si="0"/>
        <v>50</v>
      </c>
    </row>
    <row r="26" spans="1:4" x14ac:dyDescent="0.15">
      <c r="A26" t="s">
        <v>275</v>
      </c>
      <c r="B26" t="s">
        <v>26</v>
      </c>
      <c r="C26">
        <v>0.5</v>
      </c>
      <c r="D26">
        <f t="shared" si="0"/>
        <v>50</v>
      </c>
    </row>
    <row r="27" spans="1:4" x14ac:dyDescent="0.15">
      <c r="A27" t="s">
        <v>276</v>
      </c>
      <c r="B27" t="s">
        <v>26</v>
      </c>
      <c r="C27">
        <v>4</v>
      </c>
      <c r="D27">
        <f t="shared" si="0"/>
        <v>400</v>
      </c>
    </row>
    <row r="28" spans="1:4" x14ac:dyDescent="0.15">
      <c r="A28" t="s">
        <v>277</v>
      </c>
      <c r="B28" t="s">
        <v>24</v>
      </c>
      <c r="C28">
        <v>8</v>
      </c>
      <c r="D28">
        <f t="shared" si="0"/>
        <v>1600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278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279</v>
      </c>
      <c r="B2" t="s">
        <v>26</v>
      </c>
      <c r="C2">
        <v>0.5</v>
      </c>
      <c r="D2">
        <f t="shared" ref="D2:D26" si="0">IF(B2="","",IF(B2="是",C2*200,IF(B2="否",C2*100,"")))</f>
        <v>50</v>
      </c>
    </row>
    <row r="3" spans="1:4" x14ac:dyDescent="0.15">
      <c r="A3" t="s">
        <v>280</v>
      </c>
      <c r="B3" t="s">
        <v>26</v>
      </c>
      <c r="C3">
        <v>0.5</v>
      </c>
      <c r="D3">
        <f t="shared" si="0"/>
        <v>50</v>
      </c>
    </row>
    <row r="4" spans="1:4" x14ac:dyDescent="0.15">
      <c r="A4" t="s">
        <v>281</v>
      </c>
      <c r="B4" t="s">
        <v>26</v>
      </c>
      <c r="C4">
        <v>0.5</v>
      </c>
      <c r="D4">
        <f t="shared" si="0"/>
        <v>50</v>
      </c>
    </row>
    <row r="5" spans="1:4" x14ac:dyDescent="0.15">
      <c r="A5" t="s">
        <v>282</v>
      </c>
      <c r="B5" t="s">
        <v>26</v>
      </c>
      <c r="C5">
        <v>0.5</v>
      </c>
      <c r="D5">
        <f t="shared" si="0"/>
        <v>50</v>
      </c>
    </row>
    <row r="6" spans="1:4" x14ac:dyDescent="0.15">
      <c r="A6" t="s">
        <v>283</v>
      </c>
      <c r="B6" t="s">
        <v>26</v>
      </c>
      <c r="C6">
        <v>4</v>
      </c>
      <c r="D6">
        <f t="shared" si="0"/>
        <v>400</v>
      </c>
    </row>
    <row r="7" spans="1:4" x14ac:dyDescent="0.15">
      <c r="A7" t="s">
        <v>284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285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286</v>
      </c>
      <c r="B9" t="s">
        <v>26</v>
      </c>
      <c r="C9">
        <v>0.5</v>
      </c>
      <c r="D9">
        <f t="shared" si="0"/>
        <v>50</v>
      </c>
    </row>
    <row r="10" spans="1:4" x14ac:dyDescent="0.15">
      <c r="A10" t="s">
        <v>287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288</v>
      </c>
      <c r="B11" t="s">
        <v>26</v>
      </c>
      <c r="C11">
        <v>0.5</v>
      </c>
      <c r="D11">
        <f t="shared" si="0"/>
        <v>50</v>
      </c>
    </row>
    <row r="12" spans="1:4" x14ac:dyDescent="0.15">
      <c r="A12" t="s">
        <v>289</v>
      </c>
      <c r="B12" t="s">
        <v>26</v>
      </c>
      <c r="C12">
        <v>4</v>
      </c>
      <c r="D12">
        <f t="shared" si="0"/>
        <v>400</v>
      </c>
    </row>
    <row r="13" spans="1:4" x14ac:dyDescent="0.15">
      <c r="A13" t="s">
        <v>290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291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292</v>
      </c>
      <c r="B15" t="s">
        <v>26</v>
      </c>
      <c r="C15">
        <v>0.5</v>
      </c>
      <c r="D15">
        <f t="shared" si="0"/>
        <v>50</v>
      </c>
    </row>
    <row r="16" spans="1:4" x14ac:dyDescent="0.15">
      <c r="A16" t="s">
        <v>293</v>
      </c>
      <c r="B16" t="s">
        <v>26</v>
      </c>
      <c r="C16">
        <v>0.5</v>
      </c>
      <c r="D16">
        <f t="shared" si="0"/>
        <v>50</v>
      </c>
    </row>
    <row r="17" spans="1:4" x14ac:dyDescent="0.15">
      <c r="A17" t="s">
        <v>294</v>
      </c>
      <c r="B17" t="s">
        <v>26</v>
      </c>
      <c r="C17">
        <v>0.5</v>
      </c>
      <c r="D17">
        <f t="shared" si="0"/>
        <v>50</v>
      </c>
    </row>
    <row r="18" spans="1:4" x14ac:dyDescent="0.15">
      <c r="A18" t="s">
        <v>295</v>
      </c>
      <c r="B18" t="s">
        <v>26</v>
      </c>
      <c r="C18">
        <v>4</v>
      </c>
      <c r="D18">
        <f t="shared" si="0"/>
        <v>400</v>
      </c>
    </row>
    <row r="19" spans="1:4" x14ac:dyDescent="0.15">
      <c r="A19" t="s">
        <v>296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297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298</v>
      </c>
      <c r="B21" t="s">
        <v>26</v>
      </c>
      <c r="C21">
        <v>0.5</v>
      </c>
      <c r="D21">
        <f t="shared" si="0"/>
        <v>50</v>
      </c>
    </row>
    <row r="22" spans="1:4" x14ac:dyDescent="0.15">
      <c r="A22" t="s">
        <v>299</v>
      </c>
      <c r="B22" t="s">
        <v>26</v>
      </c>
      <c r="C22">
        <v>0.5</v>
      </c>
      <c r="D22">
        <f t="shared" si="0"/>
        <v>50</v>
      </c>
    </row>
    <row r="23" spans="1:4" x14ac:dyDescent="0.15">
      <c r="A23" t="s">
        <v>300</v>
      </c>
      <c r="B23" t="s">
        <v>26</v>
      </c>
      <c r="C23">
        <v>0.5</v>
      </c>
      <c r="D23">
        <f t="shared" si="0"/>
        <v>50</v>
      </c>
    </row>
    <row r="24" spans="1:4" x14ac:dyDescent="0.15">
      <c r="A24" t="s">
        <v>301</v>
      </c>
      <c r="B24" t="s">
        <v>26</v>
      </c>
      <c r="C24">
        <v>4</v>
      </c>
      <c r="D24">
        <f t="shared" si="0"/>
        <v>400</v>
      </c>
    </row>
    <row r="25" spans="1:4" x14ac:dyDescent="0.15">
      <c r="A25" t="s">
        <v>302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303</v>
      </c>
      <c r="B26" t="s">
        <v>26</v>
      </c>
      <c r="C26">
        <v>0.5</v>
      </c>
      <c r="D26">
        <f t="shared" si="0"/>
        <v>50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8"/>
  <sheetViews>
    <sheetView workbookViewId="0"/>
  </sheetViews>
  <sheetFormatPr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304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305</v>
      </c>
      <c r="B2" t="s">
        <v>26</v>
      </c>
      <c r="C2">
        <v>0.5</v>
      </c>
      <c r="D2">
        <f t="shared" ref="D2:D28" si="0">IF(B2="","",IF(B2="是",C2*200,IF(B2="否",C2*100,"")))</f>
        <v>50</v>
      </c>
    </row>
    <row r="3" spans="1:4" x14ac:dyDescent="0.15">
      <c r="A3" t="s">
        <v>306</v>
      </c>
      <c r="B3" t="s">
        <v>26</v>
      </c>
      <c r="C3">
        <v>0.5</v>
      </c>
      <c r="D3">
        <f t="shared" si="0"/>
        <v>50</v>
      </c>
    </row>
    <row r="4" spans="1:4" x14ac:dyDescent="0.15">
      <c r="A4" t="s">
        <v>307</v>
      </c>
      <c r="B4" t="s">
        <v>26</v>
      </c>
      <c r="C4">
        <v>0.5</v>
      </c>
      <c r="D4">
        <f t="shared" si="0"/>
        <v>50</v>
      </c>
    </row>
    <row r="5" spans="1:4" x14ac:dyDescent="0.15">
      <c r="A5" t="s">
        <v>308</v>
      </c>
      <c r="B5" t="s">
        <v>26</v>
      </c>
      <c r="C5">
        <v>4</v>
      </c>
      <c r="D5">
        <f t="shared" si="0"/>
        <v>400</v>
      </c>
    </row>
    <row r="6" spans="1:4" x14ac:dyDescent="0.15">
      <c r="A6" t="s">
        <v>309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310</v>
      </c>
      <c r="B7" t="s">
        <v>26</v>
      </c>
      <c r="C7">
        <v>0.5</v>
      </c>
      <c r="D7">
        <f t="shared" si="0"/>
        <v>50</v>
      </c>
    </row>
    <row r="8" spans="1:4" x14ac:dyDescent="0.15">
      <c r="A8" t="s">
        <v>311</v>
      </c>
      <c r="B8" t="s">
        <v>26</v>
      </c>
      <c r="C8">
        <v>0.5</v>
      </c>
      <c r="D8">
        <f t="shared" si="0"/>
        <v>50</v>
      </c>
    </row>
    <row r="9" spans="1:4" x14ac:dyDescent="0.15">
      <c r="A9" t="s">
        <v>312</v>
      </c>
      <c r="B9" t="s">
        <v>26</v>
      </c>
      <c r="C9">
        <v>0.5</v>
      </c>
      <c r="D9">
        <f t="shared" si="0"/>
        <v>50</v>
      </c>
    </row>
    <row r="10" spans="1:4" x14ac:dyDescent="0.15">
      <c r="A10" t="s">
        <v>313</v>
      </c>
      <c r="B10" t="s">
        <v>26</v>
      </c>
      <c r="C10">
        <v>0.5</v>
      </c>
      <c r="D10">
        <f t="shared" si="0"/>
        <v>50</v>
      </c>
    </row>
    <row r="11" spans="1:4" x14ac:dyDescent="0.15">
      <c r="A11" t="s">
        <v>314</v>
      </c>
      <c r="B11" t="s">
        <v>26</v>
      </c>
      <c r="C11">
        <v>4</v>
      </c>
      <c r="D11">
        <f t="shared" si="0"/>
        <v>400</v>
      </c>
    </row>
    <row r="12" spans="1:4" x14ac:dyDescent="0.15">
      <c r="A12" t="s">
        <v>315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316</v>
      </c>
      <c r="B13" t="s">
        <v>26</v>
      </c>
      <c r="C13">
        <v>0.5</v>
      </c>
      <c r="D13">
        <f t="shared" si="0"/>
        <v>50</v>
      </c>
    </row>
    <row r="14" spans="1:4" x14ac:dyDescent="0.15">
      <c r="A14" t="s">
        <v>317</v>
      </c>
      <c r="B14" t="s">
        <v>26</v>
      </c>
      <c r="C14">
        <v>0.5</v>
      </c>
      <c r="D14">
        <f t="shared" si="0"/>
        <v>50</v>
      </c>
    </row>
    <row r="15" spans="1:4" x14ac:dyDescent="0.15">
      <c r="A15" t="s">
        <v>318</v>
      </c>
      <c r="B15" t="s">
        <v>26</v>
      </c>
      <c r="C15">
        <v>0.5</v>
      </c>
      <c r="D15">
        <f t="shared" si="0"/>
        <v>50</v>
      </c>
    </row>
    <row r="16" spans="1:4" x14ac:dyDescent="0.15">
      <c r="A16" t="s">
        <v>319</v>
      </c>
      <c r="B16" t="s">
        <v>26</v>
      </c>
      <c r="C16">
        <v>0.5</v>
      </c>
      <c r="D16">
        <f t="shared" si="0"/>
        <v>50</v>
      </c>
    </row>
    <row r="17" spans="1:4" x14ac:dyDescent="0.15">
      <c r="A17" t="s">
        <v>320</v>
      </c>
      <c r="B17" t="s">
        <v>26</v>
      </c>
      <c r="C17">
        <v>4</v>
      </c>
      <c r="D17">
        <f t="shared" si="0"/>
        <v>400</v>
      </c>
    </row>
    <row r="18" spans="1:4" x14ac:dyDescent="0.15">
      <c r="A18" t="s">
        <v>321</v>
      </c>
      <c r="B18" t="s">
        <v>24</v>
      </c>
      <c r="C18">
        <v>8</v>
      </c>
      <c r="D18">
        <f t="shared" si="0"/>
        <v>1600</v>
      </c>
    </row>
    <row r="19" spans="1:4" x14ac:dyDescent="0.15">
      <c r="A19" t="s">
        <v>322</v>
      </c>
      <c r="B19" t="s">
        <v>26</v>
      </c>
      <c r="C19">
        <v>0.5</v>
      </c>
      <c r="D19">
        <f t="shared" si="0"/>
        <v>50</v>
      </c>
    </row>
    <row r="20" spans="1:4" x14ac:dyDescent="0.15">
      <c r="A20" t="s">
        <v>323</v>
      </c>
      <c r="B20" t="s">
        <v>26</v>
      </c>
      <c r="C20">
        <v>0.5</v>
      </c>
      <c r="D20">
        <f t="shared" si="0"/>
        <v>50</v>
      </c>
    </row>
    <row r="21" spans="1:4" x14ac:dyDescent="0.15">
      <c r="A21" t="s">
        <v>324</v>
      </c>
      <c r="B21" t="s">
        <v>26</v>
      </c>
      <c r="C21">
        <v>0.5</v>
      </c>
      <c r="D21">
        <f t="shared" si="0"/>
        <v>50</v>
      </c>
    </row>
    <row r="22" spans="1:4" x14ac:dyDescent="0.15">
      <c r="A22" t="s">
        <v>325</v>
      </c>
      <c r="B22" t="s">
        <v>26</v>
      </c>
      <c r="C22">
        <v>0.5</v>
      </c>
      <c r="D22">
        <f t="shared" si="0"/>
        <v>50</v>
      </c>
    </row>
    <row r="23" spans="1:4" x14ac:dyDescent="0.15">
      <c r="A23" t="s">
        <v>326</v>
      </c>
      <c r="B23" t="s">
        <v>26</v>
      </c>
      <c r="C23">
        <v>4</v>
      </c>
      <c r="D23">
        <f t="shared" si="0"/>
        <v>400</v>
      </c>
    </row>
    <row r="24" spans="1:4" x14ac:dyDescent="0.15">
      <c r="A24" t="s">
        <v>327</v>
      </c>
      <c r="B24" t="s">
        <v>24</v>
      </c>
      <c r="C24">
        <v>8</v>
      </c>
      <c r="D24">
        <f t="shared" si="0"/>
        <v>1600</v>
      </c>
    </row>
    <row r="25" spans="1:4" x14ac:dyDescent="0.15">
      <c r="A25" t="s">
        <v>328</v>
      </c>
      <c r="B25" t="s">
        <v>26</v>
      </c>
      <c r="C25">
        <v>0.5</v>
      </c>
      <c r="D25">
        <f t="shared" si="0"/>
        <v>50</v>
      </c>
    </row>
    <row r="26" spans="1:4" x14ac:dyDescent="0.15">
      <c r="A26" t="s">
        <v>329</v>
      </c>
      <c r="B26" t="s">
        <v>26</v>
      </c>
      <c r="C26">
        <v>0.5</v>
      </c>
      <c r="D26">
        <f t="shared" si="0"/>
        <v>50</v>
      </c>
    </row>
    <row r="27" spans="1:4" x14ac:dyDescent="0.15">
      <c r="A27" t="s">
        <v>330</v>
      </c>
      <c r="B27" t="s">
        <v>26</v>
      </c>
      <c r="C27">
        <v>0.5</v>
      </c>
      <c r="D27">
        <f t="shared" si="0"/>
        <v>50</v>
      </c>
    </row>
    <row r="28" spans="1:4" x14ac:dyDescent="0.15">
      <c r="A28" t="s">
        <v>331</v>
      </c>
      <c r="B28" t="s">
        <v>26</v>
      </c>
      <c r="C28">
        <v>0.5</v>
      </c>
      <c r="D28">
        <f t="shared" si="0"/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封面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昱安 陈</cp:lastModifiedBy>
  <dcterms:created xsi:type="dcterms:W3CDTF">2026-03-11T08:27:15Z</dcterms:created>
  <dcterms:modified xsi:type="dcterms:W3CDTF">2026-03-11T08:32:33Z</dcterms:modified>
</cp:coreProperties>
</file>